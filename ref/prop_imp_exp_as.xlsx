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3170" firstSheet="2" activeTab="4"/>
  </bookViews>
  <sheets>
    <sheet name="imp prop south korea" sheetId="1" r:id="rId1"/>
    <sheet name="exp prop south korea" sheetId="2" r:id="rId2"/>
    <sheet name="imp prop taiwan" sheetId="4" r:id="rId3"/>
    <sheet name="exp prop taiwan" sheetId="3" r:id="rId4"/>
    <sheet name="imp prop thailand" sheetId="6" r:id="rId5"/>
    <sheet name="exp prop thailand" sheetId="5" r:id="rId6"/>
    <sheet name="imp prop china" sheetId="8" r:id="rId7"/>
    <sheet name="exp prop china" sheetId="7" r:id="rId8"/>
    <sheet name="imp prop japan" sheetId="10" r:id="rId9"/>
    <sheet name="exp prop japan" sheetId="9" r:id="rId10"/>
    <sheet name="imp prop india" sheetId="11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7" i="7" l="1"/>
  <c r="F17" i="7"/>
  <c r="E17" i="7" s="1"/>
  <c r="I10" i="1"/>
  <c r="F10" i="1"/>
  <c r="E10" i="1" s="1"/>
  <c r="I10" i="2" l="1"/>
  <c r="F10" i="2"/>
  <c r="E10" i="2" s="1"/>
  <c r="I15" i="2"/>
  <c r="F15" i="2"/>
  <c r="E15" i="2"/>
  <c r="F6" i="2"/>
  <c r="E6" i="2" s="1"/>
  <c r="I6" i="2"/>
  <c r="I20" i="8" l="1"/>
  <c r="F20" i="8"/>
  <c r="E20" i="8" s="1"/>
  <c r="I12" i="7" l="1"/>
  <c r="F12" i="7"/>
  <c r="E12" i="7" s="1"/>
  <c r="I10" i="6" l="1"/>
  <c r="F10" i="6"/>
  <c r="E10" i="6" s="1"/>
  <c r="F8" i="6" l="1"/>
  <c r="E8" i="6" s="1"/>
  <c r="F7" i="6"/>
  <c r="E7" i="6" s="1"/>
  <c r="F6" i="6"/>
  <c r="E6" i="6" s="1"/>
  <c r="F5" i="6"/>
  <c r="E5" i="6" s="1"/>
  <c r="F4" i="6"/>
  <c r="E4" i="6" s="1"/>
  <c r="F3" i="6"/>
  <c r="E3" i="6" s="1"/>
  <c r="I34" i="2" l="1"/>
  <c r="F34" i="2"/>
  <c r="E34" i="2" s="1"/>
  <c r="F4" i="7" l="1"/>
  <c r="I21" i="3" l="1"/>
  <c r="F21" i="3"/>
  <c r="E21" i="3" s="1"/>
  <c r="I9" i="1"/>
  <c r="F9" i="1"/>
  <c r="E9" i="1" s="1"/>
  <c r="I4" i="9" l="1"/>
  <c r="I5" i="9"/>
  <c r="I6" i="9"/>
  <c r="I7" i="9"/>
  <c r="I8" i="9"/>
  <c r="I3" i="9"/>
  <c r="I7" i="10"/>
  <c r="I6" i="10"/>
  <c r="I5" i="10"/>
  <c r="I4" i="10"/>
  <c r="I3" i="10"/>
  <c r="I4" i="7"/>
  <c r="I5" i="7"/>
  <c r="I6" i="7"/>
  <c r="I7" i="7"/>
  <c r="I8" i="7"/>
  <c r="I9" i="7"/>
  <c r="I10" i="7"/>
  <c r="I11" i="7"/>
  <c r="I13" i="7"/>
  <c r="I14" i="7"/>
  <c r="I15" i="7"/>
  <c r="I16" i="7"/>
  <c r="I3" i="7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3" i="8"/>
  <c r="I4" i="5"/>
  <c r="I5" i="5"/>
  <c r="I6" i="5"/>
  <c r="I7" i="5"/>
  <c r="I8" i="5"/>
  <c r="I9" i="5"/>
  <c r="I10" i="5"/>
  <c r="I11" i="5"/>
  <c r="I12" i="5"/>
  <c r="I13" i="5"/>
  <c r="I3" i="5"/>
  <c r="I4" i="6"/>
  <c r="I5" i="6"/>
  <c r="I6" i="6"/>
  <c r="I7" i="6"/>
  <c r="I8" i="6"/>
  <c r="I3" i="6"/>
  <c r="I4" i="3"/>
  <c r="I5" i="3"/>
  <c r="I6" i="3"/>
  <c r="I7" i="3"/>
  <c r="I8" i="3"/>
  <c r="I9" i="3"/>
  <c r="I10" i="3"/>
  <c r="I3" i="3"/>
  <c r="I4" i="4"/>
  <c r="I5" i="4"/>
  <c r="I6" i="4"/>
  <c r="I7" i="4"/>
  <c r="I8" i="4"/>
  <c r="I9" i="4"/>
  <c r="I10" i="4"/>
  <c r="I3" i="4"/>
  <c r="I4" i="2"/>
  <c r="I5" i="2"/>
  <c r="I7" i="2"/>
  <c r="I8" i="2"/>
  <c r="I9" i="2"/>
  <c r="I25" i="2"/>
  <c r="I26" i="2"/>
  <c r="I27" i="2"/>
  <c r="I28" i="2"/>
  <c r="I3" i="2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AL3" i="2"/>
  <c r="AB3" i="4"/>
  <c r="AM3" i="4"/>
  <c r="AA3" i="2"/>
  <c r="I4" i="1"/>
  <c r="I5" i="1"/>
  <c r="I6" i="1"/>
  <c r="I7" i="1"/>
  <c r="I8" i="1"/>
  <c r="I3" i="1"/>
  <c r="F8" i="9" l="1"/>
  <c r="E8" i="9" s="1"/>
  <c r="F10" i="3"/>
  <c r="E10" i="3" s="1"/>
  <c r="F9" i="3"/>
  <c r="E9" i="3" s="1"/>
  <c r="F3" i="5" l="1"/>
  <c r="E3" i="5" s="1"/>
  <c r="F4" i="5"/>
  <c r="E4" i="5" s="1"/>
  <c r="F5" i="5"/>
  <c r="E5" i="5" s="1"/>
  <c r="F6" i="5"/>
  <c r="E6" i="5" s="1"/>
  <c r="F7" i="5"/>
  <c r="E7" i="5" s="1"/>
  <c r="F8" i="5"/>
  <c r="E8" i="5" s="1"/>
  <c r="F9" i="5"/>
  <c r="E9" i="5" s="1"/>
  <c r="F10" i="5"/>
  <c r="E10" i="5" s="1"/>
  <c r="F11" i="5"/>
  <c r="E11" i="5" s="1"/>
  <c r="F12" i="5"/>
  <c r="E12" i="5" s="1"/>
  <c r="F13" i="5"/>
  <c r="E13" i="5" s="1"/>
  <c r="I20" i="2" l="1"/>
  <c r="F20" i="2"/>
  <c r="E20" i="2" s="1"/>
  <c r="I19" i="2"/>
  <c r="F19" i="2"/>
  <c r="E19" i="2" s="1"/>
  <c r="I18" i="2"/>
  <c r="F18" i="2"/>
  <c r="E18" i="2" s="1"/>
  <c r="I17" i="2"/>
  <c r="F17" i="2"/>
  <c r="E17" i="2" s="1"/>
  <c r="I14" i="3" l="1"/>
  <c r="F14" i="3"/>
  <c r="E14" i="3" s="1"/>
  <c r="I13" i="3"/>
  <c r="F13" i="3"/>
  <c r="E13" i="3" s="1"/>
  <c r="I12" i="3"/>
  <c r="F12" i="3"/>
  <c r="E12" i="3" s="1"/>
  <c r="F8" i="3"/>
  <c r="E8" i="3" s="1"/>
  <c r="F13" i="7" l="1"/>
  <c r="F16" i="8" l="1"/>
  <c r="E16" i="8" s="1"/>
  <c r="F3" i="10" l="1"/>
  <c r="F4" i="10"/>
  <c r="F6" i="7" l="1"/>
  <c r="E6" i="7" s="1"/>
  <c r="F5" i="7"/>
  <c r="E5" i="7" s="1"/>
  <c r="E4" i="7"/>
  <c r="F7" i="7" l="1"/>
  <c r="F8" i="7"/>
  <c r="F9" i="7"/>
  <c r="F16" i="7" l="1"/>
  <c r="E16" i="7" s="1"/>
  <c r="F17" i="8" l="1"/>
  <c r="E17" i="8" s="1"/>
  <c r="F5" i="10" l="1"/>
  <c r="F6" i="9" l="1"/>
  <c r="F7" i="9" l="1"/>
  <c r="F15" i="8" l="1"/>
  <c r="E15" i="8" s="1"/>
  <c r="F3" i="3"/>
  <c r="F4" i="3"/>
  <c r="E3" i="3" l="1"/>
  <c r="F11" i="7" l="1"/>
  <c r="E11" i="7" s="1"/>
  <c r="AL3" i="7"/>
  <c r="E13" i="7"/>
  <c r="AL3" i="8"/>
  <c r="AM3" i="6"/>
  <c r="AL3" i="5"/>
  <c r="F6" i="4"/>
  <c r="E6" i="4" s="1"/>
  <c r="AL3" i="3"/>
  <c r="AL3" i="10"/>
  <c r="AL3" i="9"/>
  <c r="AK3" i="10" l="1"/>
  <c r="AK3" i="9"/>
  <c r="AJ3" i="7"/>
  <c r="AK3" i="7"/>
  <c r="F9" i="8"/>
  <c r="E9" i="8" s="1"/>
  <c r="AJ3" i="8"/>
  <c r="AK3" i="8"/>
  <c r="AL3" i="6"/>
  <c r="AK3" i="6"/>
  <c r="AK3" i="5"/>
  <c r="AK3" i="3"/>
  <c r="AL3" i="4"/>
  <c r="AK3" i="2"/>
  <c r="AJ3" i="10" l="1"/>
  <c r="AJ3" i="9"/>
  <c r="AJ3" i="5"/>
  <c r="AI3" i="8" l="1"/>
  <c r="AI3" i="7"/>
  <c r="AJ3" i="3"/>
  <c r="AK3" i="4"/>
  <c r="AJ3" i="2"/>
  <c r="AJ3" i="4" l="1"/>
  <c r="AI3" i="5"/>
  <c r="AJ3" i="6"/>
  <c r="AI3" i="3"/>
  <c r="AI3" i="2"/>
  <c r="AI3" i="10"/>
  <c r="AI3" i="9"/>
  <c r="AH3" i="10" l="1"/>
  <c r="AH3" i="9"/>
  <c r="AH3" i="2"/>
  <c r="AH3" i="3"/>
  <c r="Y3" i="4"/>
  <c r="Z3" i="4"/>
  <c r="AA3" i="4"/>
  <c r="AC3" i="4"/>
  <c r="AD3" i="4"/>
  <c r="AE3" i="4"/>
  <c r="AF3" i="4"/>
  <c r="AG3" i="4"/>
  <c r="AH3" i="4"/>
  <c r="AI3" i="4"/>
  <c r="F10" i="4"/>
  <c r="E10" i="4" s="1"/>
  <c r="Y3" i="6"/>
  <c r="Z3" i="6"/>
  <c r="AA3" i="6"/>
  <c r="AB3" i="6"/>
  <c r="AC3" i="6"/>
  <c r="AD3" i="6"/>
  <c r="AE3" i="6"/>
  <c r="AF3" i="6"/>
  <c r="AG3" i="6"/>
  <c r="AH3" i="6"/>
  <c r="AI3" i="6"/>
  <c r="X3" i="5"/>
  <c r="Y3" i="5"/>
  <c r="Z3" i="5"/>
  <c r="AA3" i="5"/>
  <c r="AB3" i="5"/>
  <c r="AC3" i="5"/>
  <c r="AD3" i="5"/>
  <c r="AE3" i="5"/>
  <c r="AF3" i="5"/>
  <c r="AG3" i="5"/>
  <c r="AH3" i="5"/>
  <c r="AH3" i="7" l="1"/>
  <c r="AH3" i="8"/>
  <c r="AG3" i="10" l="1"/>
  <c r="F7" i="10"/>
  <c r="E7" i="10" s="1"/>
  <c r="AG3" i="9" l="1"/>
  <c r="AG3" i="8"/>
  <c r="AG3" i="7"/>
  <c r="F9" i="4"/>
  <c r="E9" i="4" s="1"/>
  <c r="AG3" i="3"/>
  <c r="X3" i="2"/>
  <c r="Y3" i="2"/>
  <c r="Z3" i="2"/>
  <c r="AB3" i="2"/>
  <c r="AC3" i="2"/>
  <c r="AD3" i="2"/>
  <c r="AE3" i="2"/>
  <c r="AF3" i="2"/>
  <c r="AG3" i="2"/>
  <c r="F28" i="2"/>
  <c r="E28" i="2" s="1"/>
  <c r="AF3" i="10" l="1"/>
  <c r="AF3" i="9"/>
  <c r="AF3" i="8" l="1"/>
  <c r="AF3" i="7"/>
  <c r="X3" i="3"/>
  <c r="Y3" i="3"/>
  <c r="Z3" i="3"/>
  <c r="AA3" i="3"/>
  <c r="AB3" i="3"/>
  <c r="AC3" i="3"/>
  <c r="AD3" i="3"/>
  <c r="AE3" i="3"/>
  <c r="AF3" i="3"/>
  <c r="F7" i="3"/>
  <c r="E7" i="3" s="1"/>
  <c r="G4" i="11" l="1"/>
  <c r="G5" i="11"/>
  <c r="G6" i="11"/>
  <c r="G7" i="11"/>
  <c r="G8" i="11"/>
  <c r="D3" i="11"/>
  <c r="C3" i="11"/>
  <c r="AE3" i="10"/>
  <c r="X3" i="9"/>
  <c r="Y3" i="9"/>
  <c r="Z3" i="9"/>
  <c r="AA3" i="9"/>
  <c r="AB3" i="9"/>
  <c r="AC3" i="9"/>
  <c r="AD3" i="9"/>
  <c r="AE3" i="9"/>
  <c r="AA3" i="8"/>
  <c r="X3" i="8"/>
  <c r="Y3" i="8"/>
  <c r="Z3" i="8"/>
  <c r="AB3" i="8"/>
  <c r="AC3" i="8"/>
  <c r="AD3" i="8"/>
  <c r="AE3" i="8"/>
  <c r="E7" i="9" l="1"/>
  <c r="F14" i="8"/>
  <c r="E14" i="8" s="1"/>
  <c r="E4" i="3"/>
  <c r="F6" i="3"/>
  <c r="E6" i="3" s="1"/>
  <c r="F8" i="4"/>
  <c r="E8" i="4" s="1"/>
  <c r="F8" i="11" l="1"/>
  <c r="E8" i="11" s="1"/>
  <c r="F7" i="11"/>
  <c r="E7" i="11" s="1"/>
  <c r="F6" i="11"/>
  <c r="E6" i="11" s="1"/>
  <c r="F5" i="11"/>
  <c r="E5" i="11" s="1"/>
  <c r="F4" i="11"/>
  <c r="E4" i="11" s="1"/>
  <c r="R3" i="11"/>
  <c r="Q3" i="11"/>
  <c r="P3" i="11"/>
  <c r="O3" i="11"/>
  <c r="N3" i="11"/>
  <c r="M3" i="11"/>
  <c r="L3" i="11"/>
  <c r="K3" i="11"/>
  <c r="G3" i="11" s="1"/>
  <c r="F6" i="10"/>
  <c r="E6" i="10" s="1"/>
  <c r="E5" i="10"/>
  <c r="E4" i="10"/>
  <c r="AD3" i="10"/>
  <c r="AC3" i="10"/>
  <c r="AB3" i="10"/>
  <c r="AA3" i="10"/>
  <c r="Z3" i="10"/>
  <c r="Y3" i="10"/>
  <c r="X3" i="10"/>
  <c r="E6" i="9"/>
  <c r="F5" i="9"/>
  <c r="E5" i="9" s="1"/>
  <c r="F4" i="9"/>
  <c r="E4" i="9" s="1"/>
  <c r="F13" i="8"/>
  <c r="E13" i="8" s="1"/>
  <c r="F12" i="8"/>
  <c r="E12" i="8" s="1"/>
  <c r="F11" i="8"/>
  <c r="E11" i="8" s="1"/>
  <c r="F10" i="8"/>
  <c r="E10" i="8" s="1"/>
  <c r="F8" i="8"/>
  <c r="E8" i="8" s="1"/>
  <c r="F7" i="8"/>
  <c r="E7" i="8" s="1"/>
  <c r="F6" i="8"/>
  <c r="E6" i="8" s="1"/>
  <c r="F5" i="8"/>
  <c r="E5" i="8" s="1"/>
  <c r="F4" i="8"/>
  <c r="E4" i="8" s="1"/>
  <c r="F3" i="8"/>
  <c r="E3" i="8" s="1"/>
  <c r="F10" i="7"/>
  <c r="E10" i="7" s="1"/>
  <c r="E9" i="7"/>
  <c r="E8" i="7"/>
  <c r="E7" i="7"/>
  <c r="AE3" i="7"/>
  <c r="AD3" i="7"/>
  <c r="AC3" i="7"/>
  <c r="AB3" i="7"/>
  <c r="AA3" i="7"/>
  <c r="Z3" i="7"/>
  <c r="Y3" i="7"/>
  <c r="X3" i="7"/>
  <c r="F7" i="4"/>
  <c r="E7" i="4" s="1"/>
  <c r="F5" i="4"/>
  <c r="E5" i="4" s="1"/>
  <c r="F4" i="4"/>
  <c r="E4" i="4" s="1"/>
  <c r="F5" i="3"/>
  <c r="E5" i="3" s="1"/>
  <c r="F3" i="9" l="1"/>
  <c r="E3" i="9" s="1"/>
  <c r="F3" i="4"/>
  <c r="E3" i="4" s="1"/>
  <c r="F3" i="11"/>
  <c r="E3" i="11" s="1"/>
  <c r="E3" i="10"/>
  <c r="E3" i="7"/>
  <c r="F4" i="2" l="1"/>
  <c r="E4" i="2" s="1"/>
  <c r="F5" i="2"/>
  <c r="E5" i="2" s="1"/>
  <c r="F7" i="2"/>
  <c r="E7" i="2" s="1"/>
  <c r="F8" i="2"/>
  <c r="E8" i="2" s="1"/>
  <c r="F9" i="2"/>
  <c r="E9" i="2" s="1"/>
  <c r="F25" i="2"/>
  <c r="E25" i="2" s="1"/>
  <c r="F26" i="2"/>
  <c r="E26" i="2" s="1"/>
  <c r="F27" i="2"/>
  <c r="E27" i="2" s="1"/>
  <c r="F4" i="1"/>
  <c r="F5" i="1"/>
  <c r="E5" i="1" s="1"/>
  <c r="F6" i="1"/>
  <c r="E6" i="1" s="1"/>
  <c r="F7" i="1"/>
  <c r="E7" i="1" s="1"/>
  <c r="F8" i="1"/>
  <c r="E8" i="1" s="1"/>
  <c r="F3" i="1"/>
  <c r="F3" i="2" l="1"/>
  <c r="E3" i="2" s="1"/>
  <c r="E3" i="1"/>
  <c r="E4" i="1"/>
</calcChain>
</file>

<file path=xl/sharedStrings.xml><?xml version="1.0" encoding="utf-8"?>
<sst xmlns="http://schemas.openxmlformats.org/spreadsheetml/2006/main" count="787" uniqueCount="100">
  <si>
    <t xml:space="preserve">Source </t>
  </si>
  <si>
    <t>Mar 22</t>
  </si>
  <si>
    <t>change</t>
  </si>
  <si>
    <t>‘000 t</t>
  </si>
  <si>
    <t>Belgium</t>
  </si>
  <si>
    <t>others</t>
  </si>
  <si>
    <t>Egypt</t>
  </si>
  <si>
    <t>South Korea</t>
  </si>
  <si>
    <t>China</t>
  </si>
  <si>
    <t>Taiwan</t>
  </si>
  <si>
    <t>Jan 22</t>
  </si>
  <si>
    <t>Feb 22</t>
  </si>
  <si>
    <t xml:space="preserve">Apr 22 </t>
  </si>
  <si>
    <t>May 22</t>
  </si>
  <si>
    <t>Jun 22</t>
  </si>
  <si>
    <t>Jul 22</t>
  </si>
  <si>
    <t>Aug 22</t>
  </si>
  <si>
    <t>Malaysia</t>
  </si>
  <si>
    <t>USA</t>
  </si>
  <si>
    <t>India</t>
  </si>
  <si>
    <t>Apr 22</t>
  </si>
  <si>
    <t>Thailand</t>
  </si>
  <si>
    <t>Japan</t>
  </si>
  <si>
    <t xml:space="preserve">Spain </t>
  </si>
  <si>
    <t>Malasia</t>
  </si>
  <si>
    <t>Singapore</t>
  </si>
  <si>
    <t>Indonesia</t>
  </si>
  <si>
    <t>Philippines</t>
  </si>
  <si>
    <t>Vietnam</t>
  </si>
  <si>
    <t xml:space="preserve">Taiwan </t>
  </si>
  <si>
    <t>Saudi Arabia</t>
  </si>
  <si>
    <t>Brunei</t>
  </si>
  <si>
    <t>Others</t>
  </si>
  <si>
    <t>Importer</t>
  </si>
  <si>
    <t>Jan-Apr 22</t>
  </si>
  <si>
    <t>Russian Federation</t>
  </si>
  <si>
    <t>Sept 22</t>
  </si>
  <si>
    <t>Oct 22</t>
  </si>
  <si>
    <t>Nov 22</t>
  </si>
  <si>
    <t>Dec 22</t>
  </si>
  <si>
    <t>Jan 23</t>
  </si>
  <si>
    <t>Netherlands</t>
  </si>
  <si>
    <t>UAE</t>
  </si>
  <si>
    <t>Feb 23</t>
  </si>
  <si>
    <t>United Arab Emirates</t>
  </si>
  <si>
    <t>Mar 23</t>
  </si>
  <si>
    <t>Apr 23</t>
  </si>
  <si>
    <t>May 23</t>
  </si>
  <si>
    <t>Jun 23</t>
  </si>
  <si>
    <t>Jul 23</t>
  </si>
  <si>
    <t>Aug 23</t>
  </si>
  <si>
    <t>Sept 23</t>
  </si>
  <si>
    <t>Sep 23</t>
  </si>
  <si>
    <t>Oct 23</t>
  </si>
  <si>
    <t>Nov 23</t>
  </si>
  <si>
    <t>Dec 23</t>
  </si>
  <si>
    <t>Jan 24</t>
  </si>
  <si>
    <t>Libya</t>
  </si>
  <si>
    <t>Feb 24</t>
  </si>
  <si>
    <t>March 24</t>
  </si>
  <si>
    <t>Mar 24</t>
  </si>
  <si>
    <t>Apr 24</t>
  </si>
  <si>
    <t>Mexico</t>
  </si>
  <si>
    <t>May 24</t>
  </si>
  <si>
    <t>Jun 24</t>
  </si>
  <si>
    <t>Jul 24</t>
  </si>
  <si>
    <t>s</t>
  </si>
  <si>
    <t>Aug 24</t>
  </si>
  <si>
    <t>Sept 24</t>
  </si>
  <si>
    <t>Oct 24</t>
  </si>
  <si>
    <t>Sep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</si>
  <si>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</si>
  <si>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</si>
  <si>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</si>
  <si>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</si>
  <si>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</si>
  <si>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</si>
  <si>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</si>
  <si>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</si>
  <si>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</si>
  <si>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</si>
  <si>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</si>
  <si>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</si>
  <si>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</si>
  <si>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</si>
  <si>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</si>
  <si>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</si>
  <si>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</si>
  <si>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</si>
  <si>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</si>
  <si>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</si>
  <si>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</si>
  <si>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</si>
  <si>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</si>
  <si>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</si>
  <si>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</si>
  <si>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</si>
  <si>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Jan-Mar 26</t>
  </si>
  <si>
    <t>Jan-Apr 26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</si>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</sst>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204"/>
    </font>
    <font>
      <i/>
      <u/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9"/>
      <color rgb="FF000000"/>
      <name val="Wingdings"/>
      <charset val="2"/>
    </font>
    <font>
      <b/>
      <sz val="9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5D2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1919A"/>
      </bottom>
      <diagonal/>
    </border>
    <border>
      <left/>
      <right/>
      <top style="medium">
        <color rgb="FF41919A"/>
      </top>
      <bottom style="medium">
        <color rgb="FF41919A"/>
      </bottom>
      <diagonal/>
    </border>
    <border>
      <left/>
      <right/>
      <top style="thin">
        <color rgb="FF41919A"/>
      </top>
      <bottom style="thin">
        <color rgb="FF41919A"/>
      </bottom>
      <diagonal/>
    </border>
    <border>
      <left/>
      <right/>
      <top/>
      <bottom style="thin">
        <color rgb="FF41919A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4" fillId="2" borderId="0" xfId="0" applyFont="1" applyFill="1"/>
    <xf numFmtId="0" fontId="0" fillId="2" borderId="0" xfId="0" applyFill="1"/>
    <xf numFmtId="2" fontId="0" fillId="0" borderId="0" xfId="0" applyNumberFormat="1"/>
    <xf numFmtId="2" fontId="8" fillId="3" borderId="2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0" fontId="0" fillId="0" borderId="0" xfId="0" applyFill="1"/>
    <xf numFmtId="2" fontId="8" fillId="0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9" fontId="0" fillId="0" borderId="0" xfId="1" applyFont="1"/>
    <xf numFmtId="2" fontId="0" fillId="0" borderId="0" xfId="0" applyNumberFormat="1" applyFill="1"/>
    <xf numFmtId="2" fontId="0" fillId="0" borderId="0" xfId="0" applyNumberFormat="1" applyFont="1"/>
    <xf numFmtId="0" fontId="0" fillId="0" borderId="0" xfId="0" applyFont="1" applyFill="1"/>
    <xf numFmtId="0" fontId="0" fillId="0" borderId="0" xfId="0" applyFont="1"/>
    <xf numFmtId="2" fontId="0" fillId="0" borderId="0" xfId="0" applyNumberFormat="1" applyFont="1" applyFill="1"/>
    <xf numFmtId="0" fontId="3" fillId="2" borderId="0" xfId="0" applyFont="1" applyFill="1" applyBorder="1" applyAlignment="1">
      <alignment vertical="center"/>
    </xf>
    <xf numFmtId="2" fontId="5" fillId="0" borderId="3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9" fontId="7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/>
    </xf>
    <xf numFmtId="2" fontId="9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10" fillId="2" borderId="3" xfId="0" applyNumberFormat="1" applyFont="1" applyFill="1" applyBorder="1" applyAlignment="1">
      <alignment horizontal="center" vertical="center"/>
    </xf>
    <xf numFmtId="9" fontId="11" fillId="2" borderId="3" xfId="1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9" fontId="7" fillId="5" borderId="3" xfId="1" applyFont="1" applyFill="1" applyBorder="1" applyAlignment="1">
      <alignment horizontal="center" vertical="center"/>
    </xf>
    <xf numFmtId="9" fontId="11" fillId="5" borderId="3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2" fontId="8" fillId="2" borderId="4" xfId="0" applyNumberFormat="1" applyFont="1" applyFill="1" applyBorder="1" applyAlignment="1">
      <alignment horizontal="center" vertical="center"/>
    </xf>
    <xf numFmtId="4" fontId="5" fillId="0" borderId="3" xfId="0" applyNumberFormat="1" applyFont="1" applyFill="1" applyBorder="1" applyAlignment="1">
      <alignment horizontal="center" vertical="center"/>
    </xf>
    <xf numFmtId="4" fontId="9" fillId="0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4" fontId="5" fillId="2" borderId="3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9" fontId="2" fillId="6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8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Medium9"/>
  <colors>
    <mruColors>
      <color rgb="FFBE5D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14"/>
  <sheetViews>
    <sheetView zoomScale="90" zoomScaleNormal="90" workbookViewId="0">
      <selection activeCell="C1" sqref="C1:G1"/>
    </sheetView>
  </sheetViews>
  <sheetFormatPr defaultRowHeight="15" x14ac:dyDescent="0.25"/>
  <cols>
    <col min="2" max="2" width="12" customWidth="1"/>
    <col min="3" max="4" width="9.28515625" customWidth="1"/>
    <col min="7" max="7" width="9.140625" customWidth="1"/>
    <col min="11" max="22" width="9.28515625" customWidth="1"/>
    <col min="35" max="50" width="9.28515625" customWidth="1"/>
    <col min="64" max="71" width="9.2851562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W1" s="38"/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1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51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59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x14ac:dyDescent="0.25">
      <c r="A2" s="23" t="s">
        <v>3</v>
      </c>
      <c r="B2" s="23"/>
      <c r="C2" s="1"/>
      <c r="D2" s="1"/>
      <c r="E2" s="1"/>
      <c r="F2" s="1"/>
      <c r="G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s="10" customFormat="1" ht="12" customHeight="1" thickBot="1" x14ac:dyDescent="0.3">
      <c r="A3" s="26" t="s">
        <v>7</v>
      </c>
      <c r="B3" s="27"/>
      <c r="C3" s="28">
        <v>24.32</v>
      </c>
      <c r="D3" s="28">
        <v>17.143999999999998</v>
      </c>
      <c r="E3" s="29" t="str">
        <f t="shared" ref="E3:E8" si="0">IF(OR(F3="=",F3="≈",F3="—"),"",IF(F3&gt;0,"",IF(F3&lt;0,"","")))</f>
        <v></v>
      </c>
      <c r="F3" s="30">
        <f t="shared" ref="F3" si="1">IFERROR(IF(C3/D3-1=0,"=",IF(C3/D3-1=-1,"—",IF(OR(AND(C3/D3-1&lt;0.005,C3/D3-1&gt;0), AND(C3/D3-1&lt;0,C3/D3-1&gt;-0.005)),"≈",C3/D3-1))),"—")</f>
        <v>0.41857209519365401</v>
      </c>
      <c r="G3" s="28">
        <v>106.19999999999999</v>
      </c>
      <c r="H3" s="18"/>
      <c r="I3" s="18">
        <f>SUM(K3:V3)</f>
        <v>106.19999999999999</v>
      </c>
      <c r="K3" s="28">
        <v>31.736000000000001</v>
      </c>
      <c r="L3" s="28">
        <v>33</v>
      </c>
      <c r="M3" s="28">
        <v>17.143999999999998</v>
      </c>
      <c r="N3" s="28">
        <v>24.32</v>
      </c>
      <c r="O3" s="28"/>
      <c r="P3" s="28"/>
      <c r="Q3" s="28"/>
      <c r="R3" s="28"/>
      <c r="S3" s="28"/>
      <c r="T3" s="33"/>
      <c r="U3" s="33"/>
      <c r="V3" s="33"/>
      <c r="W3" s="16"/>
      <c r="X3" s="16">
        <f>SUM(X4:X8)</f>
        <v>8.7899999999999991</v>
      </c>
      <c r="Y3" s="16">
        <f t="shared" ref="Y3:AL3" si="2">SUM(Y4:Y8)</f>
        <v>18.247</v>
      </c>
      <c r="Z3" s="16">
        <f t="shared" si="2"/>
        <v>10.128</v>
      </c>
      <c r="AA3" s="16">
        <f t="shared" si="2"/>
        <v>12.085000000000001</v>
      </c>
      <c r="AB3" s="16">
        <f t="shared" si="2"/>
        <v>18.609000000000002</v>
      </c>
      <c r="AC3" s="16">
        <f t="shared" si="2"/>
        <v>17.298999999999999</v>
      </c>
      <c r="AD3" s="16">
        <f t="shared" si="2"/>
        <v>10.003</v>
      </c>
      <c r="AE3" s="16">
        <f t="shared" si="2"/>
        <v>7.7319999999999993</v>
      </c>
      <c r="AF3" s="16">
        <f t="shared" si="2"/>
        <v>1.436148</v>
      </c>
      <c r="AG3" s="16">
        <f t="shared" si="2"/>
        <v>3.8760000000000003</v>
      </c>
      <c r="AH3" s="16">
        <f t="shared" si="2"/>
        <v>6.1449999999999996</v>
      </c>
      <c r="AI3" s="16">
        <f t="shared" si="2"/>
        <v>3.2420000000000004</v>
      </c>
      <c r="AJ3" s="16">
        <f t="shared" si="2"/>
        <v>6.0609999999999999</v>
      </c>
      <c r="AK3" s="16">
        <f t="shared" si="2"/>
        <v>15.355</v>
      </c>
      <c r="AL3" s="16">
        <f t="shared" si="2"/>
        <v>10.128</v>
      </c>
      <c r="AM3" s="16">
        <v>9.3309999999999995</v>
      </c>
      <c r="AN3" s="28">
        <v>9.2780000000000005</v>
      </c>
      <c r="AO3" s="28">
        <v>4.8620000000000001</v>
      </c>
      <c r="AP3" s="28">
        <v>15.303000000000001</v>
      </c>
      <c r="AQ3" s="28">
        <v>8.5570000000000004</v>
      </c>
      <c r="AR3" s="28">
        <v>8.4830000000000005</v>
      </c>
      <c r="AS3" s="28">
        <v>16.41</v>
      </c>
      <c r="AT3" s="28">
        <v>6.2619999999999996</v>
      </c>
      <c r="AU3" s="28">
        <v>6.9210000000000003</v>
      </c>
      <c r="AV3" s="28">
        <v>5.577</v>
      </c>
      <c r="AW3" s="28">
        <v>4.6269999999999998</v>
      </c>
      <c r="AX3" s="28">
        <v>13.28</v>
      </c>
      <c r="AY3" s="28">
        <v>10.856999999999999</v>
      </c>
      <c r="AZ3" s="28">
        <v>12</v>
      </c>
      <c r="BA3" s="28">
        <v>7.08</v>
      </c>
      <c r="BB3" s="28">
        <v>8.6999999999999993</v>
      </c>
      <c r="BC3" s="28">
        <v>6.2</v>
      </c>
      <c r="BD3" s="28">
        <v>5.9640000000000004</v>
      </c>
      <c r="BE3" s="28">
        <v>10.782999999999999</v>
      </c>
      <c r="BF3" s="28">
        <v>7.6180000000000003</v>
      </c>
      <c r="BG3" s="28">
        <v>20.963999999999999</v>
      </c>
      <c r="BH3" s="28">
        <v>34.130000000000003</v>
      </c>
      <c r="BI3" s="28">
        <v>39.99</v>
      </c>
      <c r="BJ3" s="28">
        <v>34.087000000000003</v>
      </c>
      <c r="BK3" s="28">
        <v>21.306999999999999</v>
      </c>
      <c r="BL3" s="28">
        <v>24.69</v>
      </c>
      <c r="BM3" s="28">
        <v>31.45</v>
      </c>
      <c r="BN3" s="28">
        <v>14.297000000000001</v>
      </c>
      <c r="BO3" s="28">
        <v>25.670999999999999</v>
      </c>
      <c r="BP3" s="28">
        <v>19.47</v>
      </c>
      <c r="BQ3" s="33">
        <v>24.785</v>
      </c>
      <c r="BR3" s="33">
        <v>27.9</v>
      </c>
      <c r="BS3" s="33">
        <v>32.564999999999998</v>
      </c>
    </row>
    <row r="4" spans="1:71" s="10" customFormat="1" ht="12" customHeight="1" thickBot="1" x14ac:dyDescent="0.3">
      <c r="A4" s="31"/>
      <c r="B4" s="32" t="s">
        <v>8</v>
      </c>
      <c r="C4" s="33">
        <v>16.027000000000001</v>
      </c>
      <c r="D4" s="33"/>
      <c r="E4" s="29" t="str">
        <f t="shared" si="0"/>
        <v/>
      </c>
      <c r="F4" s="36" t="str">
        <f t="shared" ref="F4:F9" si="3">IFERROR(IF(C4/D4-1=0,"=",IF(C4/D4-1=-1,"—",IF(OR(AND(C4/D4-1&lt;0.005,C4/D4-1&gt;0), AND(C4/D4-1&lt;0,C4/D4-1&gt;-0.005)),"≈",C4/D4-1))),"—")</f>
        <v>—</v>
      </c>
      <c r="G4" s="33">
        <v>16.027000000000001</v>
      </c>
      <c r="H4" s="18"/>
      <c r="I4" s="18">
        <f t="shared" ref="I4:I8" si="4">SUM(K4:V4)</f>
        <v>16.027000000000001</v>
      </c>
      <c r="K4" s="33"/>
      <c r="L4" s="33"/>
      <c r="M4" s="33"/>
      <c r="N4" s="33">
        <v>16.027000000000001</v>
      </c>
      <c r="O4" s="33"/>
      <c r="P4" s="33"/>
      <c r="Q4" s="33"/>
      <c r="R4" s="33"/>
      <c r="S4" s="33"/>
      <c r="T4" s="33"/>
      <c r="U4" s="33"/>
      <c r="V4" s="33"/>
      <c r="W4" s="13"/>
      <c r="X4" s="13">
        <v>1.5640000000000001</v>
      </c>
      <c r="Y4" s="13"/>
      <c r="Z4" s="13">
        <v>3.8330000000000002</v>
      </c>
      <c r="AA4" s="13">
        <v>7.085</v>
      </c>
      <c r="AB4" s="13">
        <v>4.7690000000000001</v>
      </c>
      <c r="AC4" s="13">
        <v>3.1419999999999999</v>
      </c>
      <c r="AD4" s="13">
        <v>3.0310000000000001</v>
      </c>
      <c r="AE4" s="13">
        <v>2.3159999999999998</v>
      </c>
      <c r="AF4" s="13"/>
      <c r="AG4" s="13"/>
      <c r="AH4" s="13"/>
      <c r="AI4" s="13"/>
      <c r="AJ4" s="13"/>
      <c r="AK4" s="13"/>
      <c r="AL4" s="13">
        <v>3.8330000000000002</v>
      </c>
      <c r="AM4" s="13"/>
      <c r="AN4" s="33">
        <v>4.6150000000000002</v>
      </c>
      <c r="AO4" s="33">
        <v>0.01</v>
      </c>
      <c r="AP4" s="33"/>
      <c r="AQ4" s="33"/>
      <c r="AR4" s="33"/>
      <c r="AS4" s="33">
        <v>2.2869999999999999</v>
      </c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3.9830000000000001</v>
      </c>
      <c r="BM4" s="33"/>
      <c r="BN4" s="33"/>
      <c r="BO4" s="33">
        <v>2.3519999999999999</v>
      </c>
      <c r="BP4" s="33"/>
      <c r="BQ4" s="33"/>
      <c r="BR4" s="33"/>
      <c r="BS4" s="33"/>
    </row>
    <row r="5" spans="1:71" s="10" customFormat="1" ht="12" customHeight="1" thickBot="1" x14ac:dyDescent="0.3">
      <c r="A5" s="31"/>
      <c r="B5" s="32" t="s">
        <v>22</v>
      </c>
      <c r="C5" s="33">
        <v>5.9480000000000004</v>
      </c>
      <c r="D5" s="33">
        <v>17.143999999999998</v>
      </c>
      <c r="E5" s="29" t="str">
        <f t="shared" si="0"/>
        <v></v>
      </c>
      <c r="F5" s="36">
        <f t="shared" si="3"/>
        <v>-0.6530564629024731</v>
      </c>
      <c r="G5" s="33">
        <v>87.828000000000003</v>
      </c>
      <c r="H5" s="18"/>
      <c r="I5" s="18">
        <f t="shared" si="4"/>
        <v>87.828000000000003</v>
      </c>
      <c r="K5" s="33">
        <v>31.736000000000001</v>
      </c>
      <c r="L5" s="33">
        <v>33</v>
      </c>
      <c r="M5" s="33">
        <v>17.143999999999998</v>
      </c>
      <c r="N5" s="33">
        <v>5.9480000000000004</v>
      </c>
      <c r="O5" s="33"/>
      <c r="P5" s="33"/>
      <c r="Q5" s="33"/>
      <c r="R5" s="33"/>
      <c r="S5" s="33"/>
      <c r="T5" s="33"/>
      <c r="U5" s="33"/>
      <c r="V5" s="33"/>
      <c r="W5" s="13"/>
      <c r="X5" s="13">
        <v>5.226</v>
      </c>
      <c r="Y5" s="13">
        <v>12.247</v>
      </c>
      <c r="Z5" s="13">
        <v>2.9830000000000001</v>
      </c>
      <c r="AA5" s="13"/>
      <c r="AB5" s="13">
        <v>6.84</v>
      </c>
      <c r="AC5" s="13">
        <v>12.157</v>
      </c>
      <c r="AD5" s="13">
        <v>6.97</v>
      </c>
      <c r="AE5" s="13">
        <v>3.077</v>
      </c>
      <c r="AF5" s="13"/>
      <c r="AG5" s="13">
        <v>1.53</v>
      </c>
      <c r="AH5" s="13">
        <v>6.1449999999999996</v>
      </c>
      <c r="AI5" s="13">
        <v>1.667</v>
      </c>
      <c r="AJ5" s="13">
        <v>6.0570000000000004</v>
      </c>
      <c r="AK5" s="13">
        <v>15.348000000000001</v>
      </c>
      <c r="AL5" s="13">
        <v>2.9830000000000001</v>
      </c>
      <c r="AM5" s="13">
        <v>9.3309999999999995</v>
      </c>
      <c r="AN5" s="33">
        <v>4.6559999999999997</v>
      </c>
      <c r="AO5" s="33">
        <v>4.8520000000000003</v>
      </c>
      <c r="AP5" s="33">
        <v>12.962</v>
      </c>
      <c r="AQ5" s="33">
        <v>6.2350000000000003</v>
      </c>
      <c r="AR5" s="33">
        <v>8.4830000000000005</v>
      </c>
      <c r="AS5" s="33">
        <v>14.121</v>
      </c>
      <c r="AT5" s="33">
        <v>6.2619999999999996</v>
      </c>
      <c r="AU5" s="33">
        <v>6.9210000000000003</v>
      </c>
      <c r="AV5" s="33">
        <v>5.577</v>
      </c>
      <c r="AW5" s="33">
        <v>4.6269999999999998</v>
      </c>
      <c r="AX5" s="33">
        <v>13.28</v>
      </c>
      <c r="AY5" s="33">
        <v>10.856999999999999</v>
      </c>
      <c r="AZ5" s="33">
        <v>12</v>
      </c>
      <c r="BA5" s="33">
        <v>7.08</v>
      </c>
      <c r="BB5" s="33">
        <v>8.6999999999999993</v>
      </c>
      <c r="BC5" s="33">
        <v>6.2</v>
      </c>
      <c r="BD5" s="33">
        <v>5.9640000000000004</v>
      </c>
      <c r="BE5" s="33">
        <v>10.782999999999999</v>
      </c>
      <c r="BF5" s="33">
        <v>7.6180000000000003</v>
      </c>
      <c r="BG5" s="33">
        <v>20.963999999999999</v>
      </c>
      <c r="BH5" s="33">
        <v>15.289</v>
      </c>
      <c r="BI5" s="33">
        <v>32.959000000000003</v>
      </c>
      <c r="BJ5" s="33">
        <v>34.087000000000003</v>
      </c>
      <c r="BK5" s="33">
        <v>21.306999999999999</v>
      </c>
      <c r="BL5" s="33">
        <v>18.346</v>
      </c>
      <c r="BM5" s="33">
        <v>25.145</v>
      </c>
      <c r="BN5" s="33">
        <v>14.297000000000001</v>
      </c>
      <c r="BO5" s="33">
        <v>23.311</v>
      </c>
      <c r="BP5" s="33">
        <v>19.47</v>
      </c>
      <c r="BQ5" s="33">
        <v>24.785</v>
      </c>
      <c r="BR5" s="33">
        <v>27.9</v>
      </c>
      <c r="BS5" s="33">
        <v>32.564999999999998</v>
      </c>
    </row>
    <row r="6" spans="1:71" s="10" customFormat="1" ht="12" customHeight="1" thickBot="1" x14ac:dyDescent="0.3">
      <c r="A6" s="31"/>
      <c r="B6" s="32" t="s">
        <v>9</v>
      </c>
      <c r="C6" s="33"/>
      <c r="D6" s="33"/>
      <c r="E6" s="29" t="str">
        <f t="shared" si="0"/>
        <v/>
      </c>
      <c r="F6" s="36" t="str">
        <f t="shared" si="3"/>
        <v>—</v>
      </c>
      <c r="G6" s="33">
        <v>0</v>
      </c>
      <c r="H6" s="18"/>
      <c r="I6" s="18">
        <f t="shared" si="4"/>
        <v>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13"/>
      <c r="X6" s="13"/>
      <c r="Y6" s="13"/>
      <c r="Z6" s="13"/>
      <c r="AA6" s="13"/>
      <c r="AB6" s="13"/>
      <c r="AC6" s="13"/>
      <c r="AD6" s="13"/>
      <c r="AE6" s="13">
        <v>2.335</v>
      </c>
      <c r="AF6" s="13">
        <v>1.43252</v>
      </c>
      <c r="AG6" s="13">
        <v>2.3410000000000002</v>
      </c>
      <c r="AH6" s="13"/>
      <c r="AI6" s="13">
        <v>1.5680000000000001</v>
      </c>
      <c r="AJ6" s="13"/>
      <c r="AK6" s="13"/>
      <c r="AL6" s="13"/>
      <c r="AM6" s="13"/>
      <c r="AN6" s="33"/>
      <c r="AO6" s="33"/>
      <c r="AP6" s="33">
        <v>2.3410000000000002</v>
      </c>
      <c r="AQ6" s="33">
        <v>2.319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>
        <v>18.84</v>
      </c>
      <c r="BI6" s="33">
        <v>7.0270000000000001</v>
      </c>
      <c r="BJ6" s="33"/>
      <c r="BK6" s="33"/>
      <c r="BL6" s="33">
        <v>2.359</v>
      </c>
      <c r="BM6" s="33">
        <v>2.302</v>
      </c>
      <c r="BN6" s="33"/>
      <c r="BO6" s="33"/>
      <c r="BP6" s="33"/>
      <c r="BQ6" s="33"/>
      <c r="BR6" s="33"/>
      <c r="BS6" s="33"/>
    </row>
    <row r="7" spans="1:71" s="10" customFormat="1" ht="12" customHeight="1" thickBot="1" x14ac:dyDescent="0.3">
      <c r="A7" s="31"/>
      <c r="B7" s="32" t="s">
        <v>18</v>
      </c>
      <c r="C7" s="33"/>
      <c r="D7" s="33"/>
      <c r="E7" s="29" t="str">
        <f t="shared" si="0"/>
        <v/>
      </c>
      <c r="F7" s="36" t="str">
        <f t="shared" si="3"/>
        <v>—</v>
      </c>
      <c r="G7" s="33">
        <v>0</v>
      </c>
      <c r="H7" s="18"/>
      <c r="I7" s="18">
        <f t="shared" si="4"/>
        <v>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13"/>
      <c r="X7" s="13">
        <v>2</v>
      </c>
      <c r="Y7" s="13">
        <v>6</v>
      </c>
      <c r="Z7" s="13">
        <v>1</v>
      </c>
      <c r="AA7" s="13">
        <v>5</v>
      </c>
      <c r="AB7" s="13">
        <v>7</v>
      </c>
      <c r="AC7" s="13">
        <v>2</v>
      </c>
      <c r="AD7" s="13">
        <v>2E-3</v>
      </c>
      <c r="AE7" s="13">
        <v>4.0000000000000001E-3</v>
      </c>
      <c r="AF7" s="13">
        <v>3.6280000000000001E-3</v>
      </c>
      <c r="AG7" s="13">
        <v>5.0000000000000001E-3</v>
      </c>
      <c r="AH7" s="13"/>
      <c r="AI7" s="13">
        <v>7.0000000000000001E-3</v>
      </c>
      <c r="AJ7" s="13">
        <v>4.0000000000000001E-3</v>
      </c>
      <c r="AK7" s="13">
        <v>7.0000000000000001E-3</v>
      </c>
      <c r="AL7" s="13">
        <v>1</v>
      </c>
      <c r="AM7" s="13"/>
      <c r="AN7" s="33">
        <v>6.0000000000000001E-3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s="10" customFormat="1" ht="12" customHeight="1" thickBot="1" x14ac:dyDescent="0.3">
      <c r="A8" s="31"/>
      <c r="B8" s="32" t="s">
        <v>21</v>
      </c>
      <c r="C8" s="33"/>
      <c r="D8" s="33"/>
      <c r="E8" s="29" t="str">
        <f t="shared" si="0"/>
        <v/>
      </c>
      <c r="F8" s="36" t="str">
        <f t="shared" si="3"/>
        <v>—</v>
      </c>
      <c r="G8" s="33">
        <v>0</v>
      </c>
      <c r="H8" s="18"/>
      <c r="I8" s="18">
        <f t="shared" si="4"/>
        <v>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13"/>
      <c r="X8" s="13"/>
      <c r="Y8" s="13"/>
      <c r="Z8" s="13">
        <v>2.3119999999999998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>
        <v>2.3119999999999998</v>
      </c>
      <c r="AM8" s="1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s="10" customFormat="1" ht="12" customHeight="1" thickBot="1" x14ac:dyDescent="0.3">
      <c r="A9" s="31"/>
      <c r="B9" s="32" t="s">
        <v>30</v>
      </c>
      <c r="C9" s="33"/>
      <c r="D9" s="33"/>
      <c r="E9" s="29" t="str">
        <f t="shared" ref="E9" si="5">IF(OR(F9="=",F9="≈",F9="—"),"",IF(F9&gt;0,"",IF(F9&lt;0,"","")))</f>
        <v/>
      </c>
      <c r="F9" s="36" t="str">
        <f t="shared" si="3"/>
        <v>—</v>
      </c>
      <c r="G9" s="33">
        <v>0</v>
      </c>
      <c r="H9" s="18"/>
      <c r="I9" s="18">
        <f t="shared" ref="I9" si="6">SUM(K9:V9)</f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>
        <v>4</v>
      </c>
      <c r="BN9" s="33"/>
      <c r="BO9" s="33"/>
      <c r="BP9" s="33"/>
      <c r="BQ9" s="33"/>
      <c r="BR9" s="33"/>
      <c r="BS9" s="33"/>
    </row>
    <row r="10" spans="1:71" s="10" customFormat="1" ht="12" customHeight="1" thickBot="1" x14ac:dyDescent="0.3">
      <c r="A10" s="31"/>
      <c r="B10" s="32" t="s">
        <v>27</v>
      </c>
      <c r="C10" s="33">
        <v>2.3479999999999999</v>
      </c>
      <c r="D10" s="33"/>
      <c r="E10" s="29" t="str">
        <f t="shared" ref="E10" si="7">IF(OR(F10="=",F10="≈",F10="—"),"",IF(F10&gt;0,"",IF(F10&lt;0,"","")))</f>
        <v/>
      </c>
      <c r="F10" s="36" t="str">
        <f t="shared" ref="F10" si="8">IFERROR(IF(C10/D10-1=0,"=",IF(C10/D10-1=-1,"—",IF(OR(AND(C10/D10-1&lt;0.005,C10/D10-1&gt;0), AND(C10/D10-1&lt;0,C10/D10-1&gt;-0.005)),"≈",C10/D10-1))),"—")</f>
        <v>—</v>
      </c>
      <c r="G10" s="33">
        <v>2.3479999999999999</v>
      </c>
      <c r="H10" s="18"/>
      <c r="I10" s="18">
        <f t="shared" ref="I10" si="9">SUM(K10:V10)</f>
        <v>2.3479999999999999</v>
      </c>
      <c r="K10" s="33"/>
      <c r="L10" s="33"/>
      <c r="M10" s="33"/>
      <c r="N10" s="33">
        <v>2.3479999999999999</v>
      </c>
      <c r="O10" s="33"/>
      <c r="P10" s="33"/>
      <c r="Q10" s="33"/>
      <c r="R10" s="33"/>
      <c r="S10" s="33"/>
      <c r="T10" s="33"/>
      <c r="U10" s="33"/>
      <c r="V10" s="3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 x14ac:dyDescent="0.25">
      <c r="E11" s="17"/>
    </row>
    <row r="12" spans="1:71" x14ac:dyDescent="0.25">
      <c r="E12" s="17"/>
    </row>
    <row r="13" spans="1:71" x14ac:dyDescent="0.25">
      <c r="E13" s="17"/>
    </row>
    <row r="14" spans="1:71" x14ac:dyDescent="0.25">
      <c r="E14" s="17"/>
    </row>
  </sheetData>
  <mergeCells count="1">
    <mergeCell ref="E1:F1"/>
  </mergeCells>
  <conditionalFormatting sqref="E3:E8">
    <cfRule type="containsText" dxfId="67" priority="215" operator="containsText" text="">
      <formula>NOT(ISERROR(SEARCH("",E3)))</formula>
    </cfRule>
    <cfRule type="containsText" dxfId="66" priority="216" operator="containsText" text="">
      <formula>NOT(ISERROR(SEARCH("",E3)))</formula>
    </cfRule>
  </conditionalFormatting>
  <conditionalFormatting sqref="E9">
    <cfRule type="containsText" dxfId="65" priority="3" operator="containsText" text="">
      <formula>NOT(ISERROR(SEARCH("",E9)))</formula>
    </cfRule>
    <cfRule type="containsText" dxfId="64" priority="4" operator="containsText" text="">
      <formula>NOT(ISERROR(SEARCH("",E9)))</formula>
    </cfRule>
  </conditionalFormatting>
  <conditionalFormatting sqref="E10">
    <cfRule type="containsText" dxfId="63" priority="1" operator="containsText" text="">
      <formula>NOT(ISERROR(SEARCH("",E10)))</formula>
    </cfRule>
    <cfRule type="containsText" dxfId="62" priority="2" operator="containsText" text="">
      <formula>NOT(ISERROR(SEARCH("",E10)))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34"/>
  <sheetViews>
    <sheetView zoomScale="90" zoomScaleNormal="90" workbookViewId="0">
      <selection activeCell="C1" sqref="C1:G1"/>
    </sheetView>
  </sheetViews>
  <sheetFormatPr defaultRowHeight="15" x14ac:dyDescent="0.25"/>
  <cols>
    <col min="2" max="2" width="10" customWidth="1"/>
    <col min="3" max="4" width="10.85546875" customWidth="1"/>
    <col min="11" max="12" width="10.85546875" customWidth="1"/>
    <col min="14" max="14" width="10.85546875" customWidth="1"/>
    <col min="16" max="22" width="10.85546875" customWidth="1"/>
    <col min="29" max="29" width="10.85546875" customWidth="1"/>
    <col min="35" max="50" width="10.8554687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51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60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thickBot="1" x14ac:dyDescent="0.3">
      <c r="A2" s="41" t="s">
        <v>3</v>
      </c>
      <c r="B2" s="41"/>
      <c r="C2" s="41"/>
      <c r="D2" s="41"/>
      <c r="E2" s="42"/>
      <c r="F2" s="42"/>
      <c r="G2" s="42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</row>
    <row r="3" spans="1:71" ht="12" customHeight="1" thickBot="1" x14ac:dyDescent="0.3">
      <c r="A3" s="26" t="s">
        <v>7</v>
      </c>
      <c r="B3" s="27"/>
      <c r="C3" s="28">
        <v>88.31</v>
      </c>
      <c r="D3" s="28">
        <v>131.6</v>
      </c>
      <c r="E3" s="29" t="str">
        <f t="shared" ref="E3:E10" si="0">IF(OR(F3="=",F3="≈",F3="—"),"",IF(F3&gt;0,"",IF(F3&lt;0,"","")))</f>
        <v></v>
      </c>
      <c r="F3" s="39">
        <f t="shared" ref="F3:F10" si="1">IFERROR(IF(C3/D3-1=0,"=",IF(C3/D3-1=-1,"—",IF(OR(AND(C3/D3-1&lt;0.005,C3/D3-1&gt;0), AND(C3/D3-1&lt;0,C3/D3-1&gt;-0.005)),"≈",C3/D3-1))),"—")</f>
        <v>-0.32895136778115497</v>
      </c>
      <c r="G3" s="43">
        <v>502.71</v>
      </c>
      <c r="H3" s="3"/>
      <c r="I3" s="3">
        <f t="shared" ref="I3:I9" si="2">SUM(K3:V3)</f>
        <v>502.71</v>
      </c>
      <c r="K3" s="28">
        <v>136.44999999999999</v>
      </c>
      <c r="L3" s="28">
        <v>146.35</v>
      </c>
      <c r="M3" s="28">
        <v>131.6</v>
      </c>
      <c r="N3" s="28">
        <v>88.31</v>
      </c>
      <c r="O3" s="28"/>
      <c r="P3" s="28"/>
      <c r="Q3" s="28"/>
      <c r="R3" s="28"/>
      <c r="S3" s="28"/>
      <c r="T3" s="28"/>
      <c r="U3" s="28"/>
      <c r="V3" s="28"/>
      <c r="X3" s="8">
        <f t="shared" ref="X3:AL3" si="3">SUM(X4:X28)</f>
        <v>102.191</v>
      </c>
      <c r="Y3" s="8">
        <f t="shared" si="3"/>
        <v>139.66036500000001</v>
      </c>
      <c r="Z3" s="8">
        <f t="shared" si="3"/>
        <v>131.2508</v>
      </c>
      <c r="AA3" s="8">
        <f t="shared" si="3"/>
        <v>131.2508</v>
      </c>
      <c r="AB3" s="8">
        <f t="shared" si="3"/>
        <v>152.86300000000003</v>
      </c>
      <c r="AC3" s="8">
        <f t="shared" si="3"/>
        <v>141.92099999999999</v>
      </c>
      <c r="AD3" s="8">
        <f t="shared" si="3"/>
        <v>123.351</v>
      </c>
      <c r="AE3" s="8">
        <f t="shared" si="3"/>
        <v>141.59500000000003</v>
      </c>
      <c r="AF3" s="8">
        <f t="shared" si="3"/>
        <v>147.33199999999999</v>
      </c>
      <c r="AG3" s="8">
        <f t="shared" si="3"/>
        <v>148.99700000000004</v>
      </c>
      <c r="AH3" s="8">
        <f t="shared" si="3"/>
        <v>152.006</v>
      </c>
      <c r="AI3" s="8">
        <f t="shared" si="3"/>
        <v>157.40299999999999</v>
      </c>
      <c r="AJ3" s="8">
        <f t="shared" si="3"/>
        <v>144.38800000000001</v>
      </c>
      <c r="AK3" s="8">
        <f t="shared" si="3"/>
        <v>277.25099999999998</v>
      </c>
      <c r="AL3" s="8">
        <f t="shared" si="3"/>
        <v>133.178</v>
      </c>
      <c r="AM3" s="8">
        <v>105.86</v>
      </c>
      <c r="AN3" s="28">
        <v>116.6</v>
      </c>
      <c r="AO3" s="28">
        <v>119.72</v>
      </c>
      <c r="AP3" s="28">
        <v>106.31</v>
      </c>
      <c r="AQ3" s="28">
        <v>140.80000000000001</v>
      </c>
      <c r="AR3" s="28">
        <v>140.80000000000001</v>
      </c>
      <c r="AS3" s="28">
        <v>152.57900000000001</v>
      </c>
      <c r="AT3" s="28">
        <v>143.80000000000001</v>
      </c>
      <c r="AU3" s="28">
        <v>160.55500000000001</v>
      </c>
      <c r="AV3" s="28">
        <v>120.95</v>
      </c>
      <c r="AW3" s="28">
        <v>124.1</v>
      </c>
      <c r="AX3" s="28">
        <v>136.71</v>
      </c>
      <c r="AY3" s="28">
        <v>155.69</v>
      </c>
      <c r="AZ3" s="28">
        <v>139.19</v>
      </c>
      <c r="BA3" s="28">
        <v>108.18</v>
      </c>
      <c r="BB3" s="28">
        <v>151.30000000000001</v>
      </c>
      <c r="BC3" s="28">
        <v>154.197</v>
      </c>
      <c r="BD3" s="28">
        <v>161.04</v>
      </c>
      <c r="BE3" s="28">
        <v>167.1</v>
      </c>
      <c r="BF3" s="28">
        <v>140.97900000000001</v>
      </c>
      <c r="BG3" s="28">
        <v>163.65</v>
      </c>
      <c r="BH3" s="28">
        <v>124.4</v>
      </c>
      <c r="BI3" s="28">
        <v>116.9</v>
      </c>
      <c r="BJ3" s="28">
        <v>123.6</v>
      </c>
      <c r="BK3" s="28">
        <v>123.92</v>
      </c>
      <c r="BL3" s="28">
        <v>146.66999999999999</v>
      </c>
      <c r="BM3" s="28">
        <v>166.01</v>
      </c>
      <c r="BN3" s="28">
        <v>159.47999999999999</v>
      </c>
      <c r="BO3" s="28">
        <v>163.32</v>
      </c>
      <c r="BP3" s="28">
        <v>132.66</v>
      </c>
      <c r="BQ3" s="28">
        <v>137.09</v>
      </c>
      <c r="BR3" s="28">
        <v>117.59</v>
      </c>
      <c r="BS3" s="28">
        <v>129.26</v>
      </c>
    </row>
    <row r="4" spans="1:71" s="21" customFormat="1" ht="12" customHeight="1" thickBot="1" x14ac:dyDescent="0.3">
      <c r="A4" s="31"/>
      <c r="B4" s="32" t="s">
        <v>8</v>
      </c>
      <c r="C4" s="33">
        <v>67.992999999999995</v>
      </c>
      <c r="D4" s="33">
        <v>114.565</v>
      </c>
      <c r="E4" s="29" t="str">
        <f t="shared" si="0"/>
        <v></v>
      </c>
      <c r="F4" s="40">
        <f t="shared" si="1"/>
        <v>-0.40651158730851489</v>
      </c>
      <c r="G4" s="44">
        <v>443.85299999999995</v>
      </c>
      <c r="H4" s="19"/>
      <c r="I4" s="3">
        <f t="shared" si="2"/>
        <v>443.85299999999995</v>
      </c>
      <c r="K4" s="33">
        <v>127.72</v>
      </c>
      <c r="L4" s="33">
        <v>133.57499999999999</v>
      </c>
      <c r="M4" s="33">
        <v>114.565</v>
      </c>
      <c r="N4" s="33">
        <v>67.992999999999995</v>
      </c>
      <c r="O4" s="33"/>
      <c r="P4" s="33"/>
      <c r="Q4" s="33"/>
      <c r="R4" s="33"/>
      <c r="S4" s="33"/>
      <c r="T4" s="33"/>
      <c r="U4" s="33"/>
      <c r="V4" s="33"/>
      <c r="X4" s="9">
        <v>78.117999999999995</v>
      </c>
      <c r="Y4" s="9">
        <v>88.388000000000005</v>
      </c>
      <c r="Z4" s="9">
        <v>66.34</v>
      </c>
      <c r="AA4" s="9">
        <v>66.34</v>
      </c>
      <c r="AB4" s="9">
        <v>121.79600000000001</v>
      </c>
      <c r="AC4" s="9">
        <v>123.354</v>
      </c>
      <c r="AD4" s="9">
        <v>86.370999999999995</v>
      </c>
      <c r="AE4" s="9">
        <v>105.759</v>
      </c>
      <c r="AF4" s="9">
        <v>128.74100000000001</v>
      </c>
      <c r="AG4" s="9">
        <v>134.11000000000001</v>
      </c>
      <c r="AH4" s="9">
        <v>138.05799999999999</v>
      </c>
      <c r="AI4" s="9">
        <v>149.53100000000001</v>
      </c>
      <c r="AJ4" s="9">
        <v>138.90899999999999</v>
      </c>
      <c r="AK4" s="9">
        <v>264.01799999999997</v>
      </c>
      <c r="AL4" s="9">
        <v>105.99299999999999</v>
      </c>
      <c r="AM4" s="9">
        <v>83.343999999999994</v>
      </c>
      <c r="AN4" s="33">
        <v>93.820999999999998</v>
      </c>
      <c r="AO4" s="33">
        <v>108.819</v>
      </c>
      <c r="AP4" s="33">
        <v>100.129</v>
      </c>
      <c r="AQ4" s="33">
        <v>135.39500000000001</v>
      </c>
      <c r="AR4" s="33">
        <v>115.114</v>
      </c>
      <c r="AS4" s="33">
        <v>127.73399999999999</v>
      </c>
      <c r="AT4" s="33">
        <v>122.496</v>
      </c>
      <c r="AU4" s="33">
        <v>141.517</v>
      </c>
      <c r="AV4" s="33">
        <v>104</v>
      </c>
      <c r="AW4" s="33">
        <v>108.807</v>
      </c>
      <c r="AX4" s="33">
        <v>121.828</v>
      </c>
      <c r="AY4" s="33">
        <v>125.956</v>
      </c>
      <c r="AZ4" s="33">
        <v>124.15600000000001</v>
      </c>
      <c r="BA4" s="33">
        <v>90.195999999999998</v>
      </c>
      <c r="BB4" s="33">
        <v>117</v>
      </c>
      <c r="BC4" s="33">
        <v>117.63</v>
      </c>
      <c r="BD4" s="33">
        <v>132.55600000000001</v>
      </c>
      <c r="BE4" s="33">
        <v>148.452</v>
      </c>
      <c r="BF4" s="33">
        <v>133.05699999999999</v>
      </c>
      <c r="BG4" s="33">
        <v>158.845</v>
      </c>
      <c r="BH4" s="33">
        <v>114.123</v>
      </c>
      <c r="BI4" s="33">
        <v>108.126</v>
      </c>
      <c r="BJ4" s="33">
        <v>109.19199999999999</v>
      </c>
      <c r="BK4" s="33">
        <v>104.807</v>
      </c>
      <c r="BL4" s="33">
        <v>137.048</v>
      </c>
      <c r="BM4" s="33">
        <v>158.25399999999999</v>
      </c>
      <c r="BN4" s="33">
        <v>144.88900000000001</v>
      </c>
      <c r="BO4" s="33">
        <v>150.13399999999999</v>
      </c>
      <c r="BP4" s="33">
        <v>113.976</v>
      </c>
      <c r="BQ4" s="33">
        <v>121.501</v>
      </c>
      <c r="BR4" s="33">
        <v>108.946</v>
      </c>
      <c r="BS4" s="33">
        <v>123.15900000000001</v>
      </c>
    </row>
    <row r="5" spans="1:71" s="21" customFormat="1" ht="12" customHeight="1" thickBot="1" x14ac:dyDescent="0.3">
      <c r="A5" s="31"/>
      <c r="B5" s="32" t="s">
        <v>22</v>
      </c>
      <c r="C5" s="33">
        <v>15.72</v>
      </c>
      <c r="D5" s="33">
        <v>7.8460000000000001</v>
      </c>
      <c r="E5" s="29" t="str">
        <f t="shared" si="0"/>
        <v></v>
      </c>
      <c r="F5" s="40">
        <f t="shared" si="1"/>
        <v>1.0035686974254396</v>
      </c>
      <c r="G5" s="44">
        <v>45.072000000000003</v>
      </c>
      <c r="H5" s="19"/>
      <c r="I5" s="3">
        <f t="shared" si="2"/>
        <v>45.072000000000003</v>
      </c>
      <c r="K5" s="33">
        <v>8.7270000000000003</v>
      </c>
      <c r="L5" s="33">
        <v>12.779</v>
      </c>
      <c r="M5" s="33">
        <v>7.8460000000000001</v>
      </c>
      <c r="N5" s="33">
        <v>15.72</v>
      </c>
      <c r="O5" s="33"/>
      <c r="P5" s="33"/>
      <c r="Q5" s="33"/>
      <c r="R5" s="33"/>
      <c r="S5" s="33"/>
      <c r="T5" s="33"/>
      <c r="U5" s="33"/>
      <c r="V5" s="33"/>
      <c r="X5" s="9">
        <v>9.69</v>
      </c>
      <c r="Y5" s="9">
        <v>9.1489999999999991</v>
      </c>
      <c r="Z5" s="9">
        <v>21.427</v>
      </c>
      <c r="AA5" s="9">
        <v>21.427</v>
      </c>
      <c r="AB5" s="9">
        <v>5.4720000000000004</v>
      </c>
      <c r="AC5" s="9">
        <v>7.0529999999999999</v>
      </c>
      <c r="AD5" s="9">
        <v>17.914000000000001</v>
      </c>
      <c r="AE5" s="9">
        <v>27.308</v>
      </c>
      <c r="AF5" s="9">
        <v>9.3019999999999996</v>
      </c>
      <c r="AG5" s="9">
        <v>10.186</v>
      </c>
      <c r="AH5" s="9">
        <v>1.0999999999999999E-2</v>
      </c>
      <c r="AI5" s="9">
        <v>1.546</v>
      </c>
      <c r="AJ5" s="9">
        <v>3.173</v>
      </c>
      <c r="AK5" s="9">
        <v>4.8</v>
      </c>
      <c r="AL5" s="9">
        <v>2.3639999999999999</v>
      </c>
      <c r="AM5" s="9">
        <v>10.823</v>
      </c>
      <c r="AN5" s="33">
        <v>7.2279999999999998</v>
      </c>
      <c r="AO5" s="33">
        <v>3.8530000000000002</v>
      </c>
      <c r="AP5" s="33">
        <v>6.181</v>
      </c>
      <c r="AQ5" s="33">
        <v>5.399</v>
      </c>
      <c r="AR5" s="33">
        <v>3.1949999999999998</v>
      </c>
      <c r="AS5" s="33">
        <v>3.2109999999999999</v>
      </c>
      <c r="AT5" s="33"/>
      <c r="AU5" s="33"/>
      <c r="AV5" s="33">
        <v>1.34</v>
      </c>
      <c r="AW5" s="33"/>
      <c r="AX5" s="33">
        <v>4.0209999999999999</v>
      </c>
      <c r="AY5" s="33">
        <v>11.05</v>
      </c>
      <c r="AZ5" s="33">
        <v>1.5740000000000001</v>
      </c>
      <c r="BA5" s="33">
        <v>7.08</v>
      </c>
      <c r="BB5" s="33">
        <v>16.059999999999999</v>
      </c>
      <c r="BC5" s="33">
        <v>17.268000000000001</v>
      </c>
      <c r="BD5" s="33">
        <v>11.231999999999999</v>
      </c>
      <c r="BE5" s="33">
        <v>12.858000000000001</v>
      </c>
      <c r="BF5" s="33">
        <v>3.218</v>
      </c>
      <c r="BG5" s="33">
        <v>4.8090000000000002</v>
      </c>
      <c r="BH5" s="33">
        <v>8.0229999999999997</v>
      </c>
      <c r="BI5" s="33">
        <v>6.4649999999999999</v>
      </c>
      <c r="BJ5" s="33">
        <v>9.7050000000000001</v>
      </c>
      <c r="BK5" s="33">
        <v>14.358000000000001</v>
      </c>
      <c r="BL5" s="33">
        <v>9.6170000000000009</v>
      </c>
      <c r="BM5" s="33">
        <v>5.5030000000000001</v>
      </c>
      <c r="BN5" s="33">
        <v>12.368</v>
      </c>
      <c r="BO5" s="33">
        <v>13.185</v>
      </c>
      <c r="BP5" s="33">
        <v>14.137</v>
      </c>
      <c r="BQ5" s="33">
        <v>13.278</v>
      </c>
      <c r="BR5" s="33">
        <v>6.2939999999999996</v>
      </c>
      <c r="BS5" s="33">
        <v>6.0960000000000001</v>
      </c>
    </row>
    <row r="6" spans="1:71" s="21" customFormat="1" ht="12" customHeight="1" thickBot="1" x14ac:dyDescent="0.3">
      <c r="A6" s="31"/>
      <c r="B6" s="32" t="s">
        <v>21</v>
      </c>
      <c r="C6" s="33"/>
      <c r="D6" s="33">
        <v>4.68</v>
      </c>
      <c r="E6" s="29" t="str">
        <f t="shared" ref="E6" si="4">IF(OR(F6="=",F6="≈",F6="—"),"",IF(F6&gt;0,"",IF(F6&lt;0,"","")))</f>
        <v/>
      </c>
      <c r="F6" s="40" t="str">
        <f t="shared" ref="F6" si="5">IFERROR(IF(C6/D6-1=0,"=",IF(C6/D6-1=-1,"—",IF(OR(AND(C6/D6-1&lt;0.005,C6/D6-1&gt;0), AND(C6/D6-1&lt;0,C6/D6-1&gt;-0.005)),"≈",C6/D6-1))),"—")</f>
        <v>—</v>
      </c>
      <c r="G6" s="44">
        <v>4.68</v>
      </c>
      <c r="H6" s="19"/>
      <c r="I6" s="3">
        <f t="shared" si="2"/>
        <v>4.68</v>
      </c>
      <c r="K6" s="33"/>
      <c r="L6" s="33"/>
      <c r="M6" s="33">
        <v>4.68</v>
      </c>
      <c r="N6" s="33"/>
      <c r="O6" s="33"/>
      <c r="P6" s="33"/>
      <c r="Q6" s="33"/>
      <c r="R6" s="33"/>
      <c r="S6" s="33"/>
      <c r="T6" s="33"/>
      <c r="U6" s="33"/>
      <c r="V6" s="33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 s="21" customFormat="1" ht="12" customHeight="1" thickBot="1" x14ac:dyDescent="0.3">
      <c r="A7" s="31"/>
      <c r="B7" s="32" t="s">
        <v>9</v>
      </c>
      <c r="C7" s="33"/>
      <c r="D7" s="33"/>
      <c r="E7" s="29" t="str">
        <f t="shared" si="0"/>
        <v/>
      </c>
      <c r="F7" s="40" t="str">
        <f t="shared" si="1"/>
        <v>—</v>
      </c>
      <c r="G7" s="44">
        <v>0</v>
      </c>
      <c r="H7" s="19"/>
      <c r="I7" s="3">
        <f t="shared" si="2"/>
        <v>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X7" s="6">
        <v>7.0190000000000001</v>
      </c>
      <c r="Y7" s="6">
        <v>10.031000000000001</v>
      </c>
      <c r="Z7" s="6">
        <v>20.361999999999998</v>
      </c>
      <c r="AA7" s="6">
        <v>20.361999999999998</v>
      </c>
      <c r="AB7" s="6">
        <v>11.638999999999999</v>
      </c>
      <c r="AC7" s="6">
        <v>4.641</v>
      </c>
      <c r="AD7" s="6">
        <v>12.964</v>
      </c>
      <c r="AE7" s="6">
        <v>6.2160000000000002</v>
      </c>
      <c r="AF7" s="6">
        <v>7.0179999999999998</v>
      </c>
      <c r="AG7" s="6">
        <v>2.359</v>
      </c>
      <c r="AH7" s="6">
        <v>9.3049999999999997</v>
      </c>
      <c r="AI7" s="6">
        <v>6.3259999999999996</v>
      </c>
      <c r="AJ7" s="6">
        <v>2.306</v>
      </c>
      <c r="AK7" s="6">
        <v>8.4329999999999998</v>
      </c>
      <c r="AL7" s="6">
        <v>3.0569999999999999</v>
      </c>
      <c r="AM7" s="6">
        <v>9.3919999999999995</v>
      </c>
      <c r="AN7" s="33">
        <v>15.55</v>
      </c>
      <c r="AO7" s="33">
        <v>7.0469999999999997</v>
      </c>
      <c r="AP7" s="33"/>
      <c r="AQ7" s="33"/>
      <c r="AR7" s="33">
        <v>12.507999999999999</v>
      </c>
      <c r="AS7" s="33">
        <v>21.632999999999999</v>
      </c>
      <c r="AT7" s="33">
        <v>17.311399999999999</v>
      </c>
      <c r="AU7" s="33">
        <v>19.029</v>
      </c>
      <c r="AV7" s="33">
        <v>10.17</v>
      </c>
      <c r="AW7" s="33">
        <v>11.11</v>
      </c>
      <c r="AX7" s="33">
        <v>10.861000000000001</v>
      </c>
      <c r="AY7" s="33">
        <v>16.39</v>
      </c>
      <c r="AZ7" s="33">
        <v>13.456</v>
      </c>
      <c r="BA7" s="33">
        <v>10.9</v>
      </c>
      <c r="BB7" s="33">
        <v>18.239999999999998</v>
      </c>
      <c r="BC7" s="33">
        <v>14.683999999999999</v>
      </c>
      <c r="BD7" s="33">
        <v>17.25</v>
      </c>
      <c r="BE7" s="33">
        <v>6.266</v>
      </c>
      <c r="BF7" s="33">
        <v>4.7030000000000003</v>
      </c>
      <c r="BG7" s="33"/>
      <c r="BH7" s="33">
        <v>2.2551999999999999</v>
      </c>
      <c r="BI7" s="33">
        <v>2.3039999999999998</v>
      </c>
      <c r="BJ7" s="33">
        <v>4.7039999999999997</v>
      </c>
      <c r="BK7" s="33"/>
      <c r="BL7" s="33"/>
      <c r="BM7" s="33">
        <v>2.254</v>
      </c>
      <c r="BN7" s="33"/>
      <c r="BO7" s="33"/>
      <c r="BP7" s="33"/>
      <c r="BQ7" s="33"/>
      <c r="BR7" s="33"/>
      <c r="BS7" s="33"/>
    </row>
    <row r="8" spans="1:71" s="21" customFormat="1" ht="12" customHeight="1" thickBot="1" x14ac:dyDescent="0.3">
      <c r="A8" s="31"/>
      <c r="B8" s="32" t="s">
        <v>26</v>
      </c>
      <c r="C8" s="33">
        <v>4.593</v>
      </c>
      <c r="D8" s="33">
        <v>2.2799999999999998</v>
      </c>
      <c r="E8" s="29" t="str">
        <f t="shared" si="0"/>
        <v></v>
      </c>
      <c r="F8" s="40">
        <f t="shared" si="1"/>
        <v>1.0144736842105266</v>
      </c>
      <c r="G8" s="44">
        <v>6.8729999999999993</v>
      </c>
      <c r="H8" s="19"/>
      <c r="I8" s="3">
        <f t="shared" si="2"/>
        <v>6.8729999999999993</v>
      </c>
      <c r="K8" s="33"/>
      <c r="L8" s="33"/>
      <c r="M8" s="33">
        <v>2.2799999999999998</v>
      </c>
      <c r="N8" s="33">
        <v>4.593</v>
      </c>
      <c r="O8" s="33"/>
      <c r="P8" s="33"/>
      <c r="Q8" s="33"/>
      <c r="R8" s="33"/>
      <c r="S8" s="33"/>
      <c r="T8" s="33"/>
      <c r="U8" s="33"/>
      <c r="V8" s="33"/>
      <c r="X8" s="6"/>
      <c r="Y8" s="6"/>
      <c r="Z8" s="6">
        <v>6.9080000000000004</v>
      </c>
      <c r="AA8" s="6">
        <v>6.9080000000000004</v>
      </c>
      <c r="AB8" s="6">
        <v>2.302</v>
      </c>
      <c r="AC8" s="6">
        <v>2.3029999999999999</v>
      </c>
      <c r="AD8" s="6"/>
      <c r="AE8" s="6">
        <v>2.3119999999999998</v>
      </c>
      <c r="AF8" s="6">
        <v>2.2709999999999999</v>
      </c>
      <c r="AG8" s="6"/>
      <c r="AH8" s="6"/>
      <c r="AI8" s="6"/>
      <c r="AJ8" s="6"/>
      <c r="AK8" s="6"/>
      <c r="AL8" s="6"/>
      <c r="AM8" s="6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>
        <v>4.6150000000000002</v>
      </c>
      <c r="BD8" s="33"/>
      <c r="BE8" s="33"/>
      <c r="BF8" s="33"/>
      <c r="BG8" s="33"/>
      <c r="BH8" s="33"/>
      <c r="BI8" s="33"/>
      <c r="BJ8" s="33"/>
      <c r="BK8" s="33">
        <v>4.7510000000000003</v>
      </c>
      <c r="BL8" s="33"/>
      <c r="BM8" s="33"/>
      <c r="BN8" s="33"/>
      <c r="BO8" s="33"/>
      <c r="BP8" s="33"/>
      <c r="BQ8" s="33"/>
      <c r="BR8" s="33"/>
      <c r="BS8" s="33"/>
    </row>
    <row r="9" spans="1:71" s="21" customFormat="1" ht="12" customHeight="1" thickBot="1" x14ac:dyDescent="0.3">
      <c r="A9" s="31"/>
      <c r="B9" s="32" t="s">
        <v>21</v>
      </c>
      <c r="C9" s="33"/>
      <c r="D9" s="33"/>
      <c r="E9" s="29" t="str">
        <f t="shared" si="0"/>
        <v/>
      </c>
      <c r="F9" s="40" t="str">
        <f t="shared" si="1"/>
        <v>—</v>
      </c>
      <c r="G9" s="44">
        <v>0</v>
      </c>
      <c r="H9" s="19"/>
      <c r="I9" s="3">
        <f t="shared" si="2"/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>
        <v>2.2189999999999999</v>
      </c>
      <c r="BO9" s="33"/>
      <c r="BP9" s="33">
        <v>4.5510000000000002</v>
      </c>
      <c r="BQ9" s="33">
        <v>2.306</v>
      </c>
      <c r="BR9" s="33"/>
      <c r="BS9" s="33"/>
    </row>
    <row r="10" spans="1:71" s="21" customFormat="1" ht="12" customHeight="1" thickBot="1" x14ac:dyDescent="0.3">
      <c r="A10" s="31"/>
      <c r="B10" s="32" t="s">
        <v>25</v>
      </c>
      <c r="C10" s="33"/>
      <c r="D10" s="33">
        <v>2.23</v>
      </c>
      <c r="E10" s="29" t="str">
        <f t="shared" si="0"/>
        <v/>
      </c>
      <c r="F10" s="40" t="str">
        <f t="shared" si="1"/>
        <v>—</v>
      </c>
      <c r="G10" s="44">
        <v>0</v>
      </c>
      <c r="H10" s="19"/>
      <c r="I10" s="3">
        <f>SUM(AV10:BG10)</f>
        <v>0</v>
      </c>
      <c r="K10" s="33"/>
      <c r="L10" s="33"/>
      <c r="M10" s="33">
        <v>2.23</v>
      </c>
      <c r="N10" s="33"/>
      <c r="P10" s="33"/>
      <c r="Q10" s="33"/>
      <c r="R10" s="33"/>
      <c r="S10" s="33"/>
      <c r="T10" s="33"/>
      <c r="U10" s="33"/>
      <c r="V10" s="33"/>
      <c r="X10" s="6"/>
      <c r="Y10" s="6"/>
      <c r="Z10" s="6">
        <v>6.9279999999999999</v>
      </c>
      <c r="AA10" s="6">
        <v>6.9279999999999999</v>
      </c>
      <c r="AB10" s="6">
        <v>2.36</v>
      </c>
      <c r="AC10" s="6">
        <v>2.2850000000000001</v>
      </c>
      <c r="AD10" s="6">
        <v>3.0510000000000002</v>
      </c>
      <c r="AE10" s="6"/>
      <c r="AF10" s="6"/>
      <c r="AG10" s="6"/>
      <c r="AH10" s="6"/>
      <c r="AI10" s="6"/>
      <c r="AJ10" s="6"/>
      <c r="AK10" s="6"/>
      <c r="AL10" s="6">
        <v>4.6639999999999997</v>
      </c>
      <c r="AM10" s="6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</row>
    <row r="15" spans="1:71" s="21" customFormat="1" ht="12" customHeight="1" thickBot="1" x14ac:dyDescent="0.3">
      <c r="A15" s="31"/>
      <c r="B15" s="32" t="s">
        <v>28</v>
      </c>
      <c r="C15" s="33"/>
      <c r="D15" s="33"/>
      <c r="E15" s="29" t="str">
        <f t="shared" ref="E15" si="6">IF(OR(F15="=",F15="≈",F15="—"),"",IF(F15&gt;0,"",IF(F15&lt;0,"","")))</f>
        <v/>
      </c>
      <c r="F15" s="40" t="str">
        <f t="shared" ref="F15" si="7">IFERROR(IF(C15/D15-1=0,"=",IF(C15/D15-1=-1,"—",IF(OR(AND(C15/D15-1&lt;0.005,C15/D15-1&gt;0), AND(C15/D15-1&lt;0,C15/D15-1&gt;-0.005)),"≈",C15/D15-1))),"—")</f>
        <v>—</v>
      </c>
      <c r="G15" s="44">
        <v>0</v>
      </c>
      <c r="H15" s="19"/>
      <c r="I15" s="3">
        <f t="shared" ref="I15" si="8">SUM(K15:V15)</f>
        <v>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>
        <v>2.2189999999999999</v>
      </c>
      <c r="BO15" s="33"/>
      <c r="BP15" s="33">
        <v>4.5510000000000002</v>
      </c>
      <c r="BQ15" s="33">
        <v>2.306</v>
      </c>
      <c r="BR15" s="33">
        <v>2.35</v>
      </c>
      <c r="BS15" s="33"/>
    </row>
    <row r="17" spans="1:59" s="21" customFormat="1" ht="12" customHeight="1" thickBot="1" x14ac:dyDescent="0.3">
      <c r="A17" s="31"/>
      <c r="B17" s="32" t="s">
        <v>23</v>
      </c>
      <c r="C17" s="33"/>
      <c r="D17" s="33"/>
      <c r="E17" s="29" t="str">
        <f t="shared" ref="E17:E20" si="9">IF(OR(F17="=",F17="≈",F17="—"),"",IF(F17&gt;0,"",IF(F17&lt;0,"","")))</f>
        <v/>
      </c>
      <c r="F17" s="40" t="str">
        <f t="shared" ref="F17:F20" si="10">IFERROR(IF(C17/D17-1=0,"=",IF(C17/D17-1=-1,"—",IF(OR(AND(C17/D17-1&lt;0.005,C17/D17-1&gt;0), AND(C17/D17-1&lt;0,C17/D17-1&gt;-0.005)),"≈",C17/D17-1))),"—")</f>
        <v>—</v>
      </c>
      <c r="G17" s="44">
        <v>0</v>
      </c>
      <c r="H17" s="22"/>
      <c r="I17" s="3">
        <f>SUM(AV17:BG17)</f>
        <v>0</v>
      </c>
      <c r="K17" s="33"/>
      <c r="L17" s="33"/>
      <c r="M17" s="33"/>
      <c r="N17" s="33"/>
      <c r="P17" s="33"/>
      <c r="Q17" s="33"/>
      <c r="R17" s="33"/>
      <c r="S17" s="33"/>
      <c r="T17" s="33"/>
      <c r="U17" s="33"/>
      <c r="V17" s="33"/>
      <c r="X17" s="6">
        <v>5.01</v>
      </c>
      <c r="Y17" s="6">
        <v>3.6499999999999998E-4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</row>
    <row r="18" spans="1:59" s="21" customFormat="1" ht="12" customHeight="1" thickBot="1" x14ac:dyDescent="0.3">
      <c r="A18" s="31"/>
      <c r="B18" s="32" t="s">
        <v>27</v>
      </c>
      <c r="C18" s="33"/>
      <c r="D18" s="33"/>
      <c r="E18" s="29" t="str">
        <f t="shared" si="9"/>
        <v/>
      </c>
      <c r="F18" s="40" t="str">
        <f t="shared" si="10"/>
        <v>—</v>
      </c>
      <c r="G18" s="44">
        <v>0</v>
      </c>
      <c r="H18" s="19"/>
      <c r="I18" s="3">
        <f>SUM(AV18:BG18)</f>
        <v>0</v>
      </c>
      <c r="K18" s="33"/>
      <c r="L18" s="33"/>
      <c r="M18" s="33"/>
      <c r="N18" s="33"/>
      <c r="P18" s="33"/>
      <c r="Q18" s="33"/>
      <c r="R18" s="33"/>
      <c r="S18" s="33"/>
      <c r="T18" s="33"/>
      <c r="U18" s="33"/>
      <c r="V18" s="33"/>
      <c r="X18" s="6">
        <v>2.3540000000000001</v>
      </c>
      <c r="Y18" s="6">
        <v>10.031000000000001</v>
      </c>
      <c r="Z18" s="6">
        <v>2.3570000000000002</v>
      </c>
      <c r="AA18" s="6">
        <v>2.3570000000000002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</row>
    <row r="19" spans="1:59" s="21" customFormat="1" ht="12" customHeight="1" thickBot="1" x14ac:dyDescent="0.3">
      <c r="A19" s="31"/>
      <c r="B19" s="32" t="s">
        <v>25</v>
      </c>
      <c r="C19" s="33"/>
      <c r="D19" s="33"/>
      <c r="E19" s="29" t="str">
        <f t="shared" si="9"/>
        <v/>
      </c>
      <c r="F19" s="40" t="str">
        <f t="shared" si="10"/>
        <v>—</v>
      </c>
      <c r="G19" s="44">
        <v>0</v>
      </c>
      <c r="H19" s="19"/>
      <c r="I19" s="3">
        <f>SUM(AV19:BG19)</f>
        <v>0</v>
      </c>
      <c r="K19" s="33"/>
      <c r="L19" s="33"/>
      <c r="M19" s="33"/>
      <c r="N19" s="33"/>
      <c r="P19" s="33"/>
      <c r="Q19" s="33"/>
      <c r="R19" s="33"/>
      <c r="S19" s="33"/>
      <c r="T19" s="33"/>
      <c r="U19" s="33"/>
      <c r="V19" s="33"/>
      <c r="X19" s="6"/>
      <c r="Y19" s="6"/>
      <c r="Z19" s="6">
        <v>6.9279999999999999</v>
      </c>
      <c r="AA19" s="6">
        <v>6.9279999999999999</v>
      </c>
      <c r="AB19" s="6">
        <v>2.36</v>
      </c>
      <c r="AC19" s="6">
        <v>2.2850000000000001</v>
      </c>
      <c r="AD19" s="6">
        <v>3.0510000000000002</v>
      </c>
      <c r="AE19" s="6"/>
      <c r="AF19" s="6"/>
      <c r="AG19" s="6"/>
      <c r="AH19" s="6"/>
      <c r="AI19" s="6"/>
      <c r="AJ19" s="6"/>
      <c r="AK19" s="6"/>
      <c r="AL19" s="6">
        <v>4.6639999999999997</v>
      </c>
      <c r="AM19" s="6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</row>
    <row r="20" spans="1:59" s="21" customFormat="1" ht="12" customHeight="1" thickBot="1" x14ac:dyDescent="0.3">
      <c r="A20" s="31"/>
      <c r="B20" s="32" t="s">
        <v>4</v>
      </c>
      <c r="C20" s="33"/>
      <c r="D20" s="33"/>
      <c r="E20" s="29" t="str">
        <f t="shared" si="9"/>
        <v/>
      </c>
      <c r="F20" s="40" t="str">
        <f t="shared" si="10"/>
        <v>—</v>
      </c>
      <c r="G20" s="44">
        <v>0</v>
      </c>
      <c r="H20" s="19"/>
      <c r="I20" s="3">
        <f>SUM(AV20:BG20)</f>
        <v>0</v>
      </c>
      <c r="K20" s="33"/>
      <c r="L20" s="33"/>
      <c r="M20" s="33"/>
      <c r="N20" s="33"/>
      <c r="P20" s="33"/>
      <c r="Q20" s="33"/>
      <c r="R20" s="33"/>
      <c r="S20" s="33"/>
      <c r="T20" s="33"/>
      <c r="U20" s="33"/>
      <c r="V20" s="33"/>
      <c r="X20" s="6"/>
      <c r="Y20" s="6">
        <v>5.2759999999999998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</row>
    <row r="25" spans="1:59" s="21" customFormat="1" ht="12" customHeight="1" thickBot="1" x14ac:dyDescent="0.3">
      <c r="A25" s="31"/>
      <c r="B25" s="32" t="s">
        <v>19</v>
      </c>
      <c r="C25" s="33"/>
      <c r="D25" s="33"/>
      <c r="E25" s="29" t="str">
        <f>IF(OR(F25="=",F25="≈",F25="—"),"",IF(F25&gt;0,"",IF(F25&lt;0,"","")))</f>
        <v/>
      </c>
      <c r="F25" s="40" t="str">
        <f>IFERROR(IF(C25/D25-1=0,"=",IF(C25/D25-1=-1,"—",IF(OR(AND(C25/D25-1&lt;0.005,C25/D25-1&gt;0), AND(C25/D25-1&lt;0,C25/D25-1&gt;-0.005)),"≈",C25/D25-1))),"—")</f>
        <v>—</v>
      </c>
      <c r="G25" s="44">
        <v>0</v>
      </c>
      <c r="H25" s="19"/>
      <c r="I25" s="3">
        <f>SUM(K25:V25)</f>
        <v>0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X25" s="6"/>
      <c r="Y25" s="6">
        <v>2.2829999999999999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</row>
    <row r="26" spans="1:59" s="21" customFormat="1" ht="12" customHeight="1" thickBot="1" x14ac:dyDescent="0.3">
      <c r="A26" s="31"/>
      <c r="B26" s="32" t="s">
        <v>41</v>
      </c>
      <c r="C26" s="33"/>
      <c r="D26" s="33"/>
      <c r="E26" s="29" t="str">
        <f>IF(OR(F26="=",F26="≈",F26="—"),"",IF(F26&gt;0,"",IF(F26&lt;0,"","")))</f>
        <v/>
      </c>
      <c r="F26" s="40" t="str">
        <f>IFERROR(IF(C26/D26-1=0,"=",IF(C26/D26-1=-1,"—",IF(OR(AND(C26/D26-1&lt;0.005,C26/D26-1&gt;0), AND(C26/D26-1&lt;0,C26/D26-1&gt;-0.005)),"≈",C26/D26-1))),"—")</f>
        <v>—</v>
      </c>
      <c r="G26" s="44">
        <v>0</v>
      </c>
      <c r="H26" s="19"/>
      <c r="I26" s="3">
        <f>SUM(K26:V26)</f>
        <v>0</v>
      </c>
      <c r="K26" s="33"/>
      <c r="L26" s="33"/>
      <c r="M26" s="33"/>
      <c r="N26" s="33"/>
      <c r="P26" s="33"/>
      <c r="Q26" s="33"/>
      <c r="R26" s="33"/>
      <c r="S26" s="33"/>
      <c r="T26" s="33"/>
      <c r="U26" s="33"/>
      <c r="V26" s="33"/>
      <c r="X26" s="6"/>
      <c r="Y26" s="6">
        <v>5.29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</row>
    <row r="27" spans="1:59" s="21" customFormat="1" ht="12" customHeight="1" thickBot="1" x14ac:dyDescent="0.3">
      <c r="A27" s="31"/>
      <c r="B27" s="32" t="s">
        <v>28</v>
      </c>
      <c r="C27" s="33"/>
      <c r="D27" s="33"/>
      <c r="E27" s="29" t="str">
        <f>IF(OR(F27="=",F27="≈",F27="—"),"",IF(F27&gt;0,"",IF(F27&lt;0,"","")))</f>
        <v/>
      </c>
      <c r="F27" s="40" t="str">
        <f>IFERROR(IF(C27/D27-1=0,"=",IF(C27/D27-1=-1,"—",IF(OR(AND(C27/D27-1&lt;0.005,C27/D27-1&gt;0), AND(C27/D27-1&lt;0,C27/D27-1&gt;-0.005)),"≈",C27/D27-1))),"—")</f>
        <v>—</v>
      </c>
      <c r="G27" s="44">
        <v>0</v>
      </c>
      <c r="H27" s="19"/>
      <c r="I27" s="3">
        <f>SUM(K27:V27)</f>
        <v>0</v>
      </c>
      <c r="K27" s="33"/>
      <c r="L27" s="33"/>
      <c r="M27" s="33"/>
      <c r="N27" s="33"/>
      <c r="P27" s="33"/>
      <c r="Q27" s="33"/>
      <c r="R27" s="33"/>
      <c r="S27" s="33"/>
      <c r="T27" s="33"/>
      <c r="U27" s="33"/>
      <c r="V27" s="33"/>
      <c r="X27" s="6"/>
      <c r="Y27" s="6">
        <v>9.2119999999999997</v>
      </c>
      <c r="Z27" s="6">
        <v>8.0000000000000004E-4</v>
      </c>
      <c r="AA27" s="6">
        <v>8.0000000000000004E-4</v>
      </c>
      <c r="AB27" s="6">
        <v>6.9340000000000002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>
        <v>2.2989999999999999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</row>
    <row r="28" spans="1:59" ht="12" customHeight="1" thickBot="1" x14ac:dyDescent="0.3">
      <c r="A28" s="31"/>
      <c r="B28" s="32" t="s">
        <v>21</v>
      </c>
      <c r="C28" s="33"/>
      <c r="D28" s="33"/>
      <c r="E28" s="29" t="str">
        <f t="shared" ref="E28" si="11">IF(OR(F28="=",F28="≈",F28="—"),"",IF(F28&gt;0,"",IF(F28&lt;0,"","")))</f>
        <v/>
      </c>
      <c r="F28" s="40" t="str">
        <f>IFERROR(IF(C28/D28-1=0,"=",IF(C28/D28-1=-1,"—",IF(OR(AND(C28/D28-1&lt;0.005,C28/D28-1&gt;0), AND(C28/D28-1&lt;0,C28/D28-1&gt;-0.005)),"≈",C28/D28-1))),"—")</f>
        <v>—</v>
      </c>
      <c r="G28" s="44">
        <v>0</v>
      </c>
      <c r="H28" s="19"/>
      <c r="I28" s="3">
        <f>SUM(K28:V28)</f>
        <v>0</v>
      </c>
      <c r="J28" s="21"/>
      <c r="K28" s="33"/>
      <c r="L28" s="33"/>
      <c r="M28" s="33"/>
      <c r="N28" s="33"/>
      <c r="P28" s="33"/>
      <c r="Q28" s="33"/>
      <c r="R28" s="33"/>
      <c r="S28" s="33"/>
      <c r="T28" s="33"/>
      <c r="U28" s="33"/>
      <c r="V28" s="33"/>
      <c r="X28" s="6"/>
      <c r="Y28" s="6"/>
      <c r="Z28" s="6"/>
      <c r="AA28" s="6"/>
      <c r="AB28" s="6"/>
      <c r="AC28" s="6"/>
      <c r="AD28" s="6"/>
      <c r="AE28" s="6"/>
      <c r="AF28" s="6"/>
      <c r="AG28" s="6">
        <v>2.3420000000000001</v>
      </c>
      <c r="AH28" s="6">
        <v>4.6319999999999997</v>
      </c>
      <c r="AI28" s="6"/>
      <c r="AJ28" s="6"/>
      <c r="AK28" s="6"/>
      <c r="AL28" s="6">
        <v>12.436</v>
      </c>
      <c r="AM28" s="6"/>
      <c r="AN28" s="33"/>
      <c r="AO28" s="33"/>
      <c r="AP28" s="33"/>
      <c r="AQ28" s="33"/>
      <c r="AR28" s="33">
        <v>4.6050000000000004</v>
      </c>
      <c r="AS28" s="33"/>
      <c r="AT28" s="33">
        <v>3.9849999999999999</v>
      </c>
      <c r="AU28" s="33"/>
      <c r="AV28" s="33">
        <v>5.4349999999999996</v>
      </c>
      <c r="AW28" s="33"/>
      <c r="AX28" s="33"/>
      <c r="AY28" s="33">
        <v>2.29</v>
      </c>
      <c r="AZ28" s="33"/>
      <c r="BA28" s="33"/>
      <c r="BB28" s="33"/>
      <c r="BC28" s="33"/>
      <c r="BD28" s="33"/>
      <c r="BE28" s="33"/>
      <c r="BF28" s="33"/>
      <c r="BG28" s="33"/>
    </row>
    <row r="34" spans="1:59" s="21" customFormat="1" ht="12" customHeight="1" thickBot="1" x14ac:dyDescent="0.3">
      <c r="A34" s="31"/>
      <c r="B34" s="32" t="s">
        <v>24</v>
      </c>
      <c r="C34" s="33"/>
      <c r="D34" s="33"/>
      <c r="E34" s="29" t="str">
        <f t="shared" ref="E34" si="12">IF(OR(F34="=",F34="≈",F34="—"),"",IF(F34&gt;0,"",IF(F34&lt;0,"","")))</f>
        <v/>
      </c>
      <c r="F34" s="40" t="str">
        <f t="shared" ref="F34" si="13">IFERROR(IF(C34/D34-1=0,"=",IF(C34/D34-1=-1,"—",IF(OR(AND(C34/D34-1&lt;0.005,C34/D34-1&gt;0), AND(C34/D34-1&lt;0,C34/D34-1&gt;-0.005)),"≈",C34/D34-1))),"—")</f>
        <v>—</v>
      </c>
      <c r="G34" s="44">
        <v>0</v>
      </c>
      <c r="H34" s="19"/>
      <c r="I34" s="3">
        <f t="shared" ref="I34" si="14">SUM(K34:V34)</f>
        <v>0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X34" s="6"/>
      <c r="Y34" s="6">
        <v>2.33</v>
      </c>
      <c r="Z34" s="6">
        <v>4.6310000000000002</v>
      </c>
      <c r="AA34" s="6">
        <v>4.6310000000000002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>
        <v>2.33</v>
      </c>
      <c r="AM34" s="6"/>
      <c r="AN34" s="33"/>
      <c r="AO34" s="33"/>
      <c r="AP34" s="33"/>
      <c r="AQ34" s="33"/>
      <c r="AR34" s="33"/>
      <c r="AS34" s="33"/>
      <c r="AT34" s="33"/>
      <c r="AU34" s="33"/>
      <c r="AV34" s="33"/>
      <c r="AW34" s="33">
        <v>4.1779999999999999</v>
      </c>
      <c r="AX34" s="33"/>
      <c r="AY34" s="33"/>
      <c r="AZ34" s="33"/>
      <c r="BA34" s="33"/>
      <c r="BB34" s="33"/>
      <c r="BC34" s="33"/>
      <c r="BD34" s="33"/>
      <c r="BE34" s="33"/>
      <c r="BF34" s="33"/>
      <c r="BG34" s="33"/>
    </row>
  </sheetData>
  <mergeCells count="1">
    <mergeCell ref="E1:F1"/>
  </mergeCells>
  <conditionalFormatting sqref="E25:E28 E3:E9">
    <cfRule type="containsText" dxfId="61" priority="77" operator="containsText" text="">
      <formula>NOT(ISERROR(SEARCH("",E3)))</formula>
    </cfRule>
    <cfRule type="containsText" dxfId="60" priority="78" operator="containsText" text="">
      <formula>NOT(ISERROR(SEARCH("",E3)))</formula>
    </cfRule>
  </conditionalFormatting>
  <conditionalFormatting sqref="E17:E20">
    <cfRule type="containsText" dxfId="59" priority="11" operator="containsText" text="">
      <formula>NOT(ISERROR(SEARCH("",E17)))</formula>
    </cfRule>
    <cfRule type="containsText" dxfId="58" priority="12" operator="containsText" text="">
      <formula>NOT(ISERROR(SEARCH("",E17)))</formula>
    </cfRule>
  </conditionalFormatting>
  <conditionalFormatting sqref="E34">
    <cfRule type="containsText" dxfId="57" priority="9" operator="containsText" text="">
      <formula>NOT(ISERROR(SEARCH("",E34)))</formula>
    </cfRule>
    <cfRule type="containsText" dxfId="56" priority="10" operator="containsText" text="">
      <formula>NOT(ISERROR(SEARCH("",E34)))</formula>
    </cfRule>
  </conditionalFormatting>
  <conditionalFormatting sqref="E15">
    <cfRule type="containsText" dxfId="55" priority="3" operator="containsText" text="">
      <formula>NOT(ISERROR(SEARCH("",E15)))</formula>
    </cfRule>
    <cfRule type="containsText" dxfId="54" priority="4" operator="containsText" text="">
      <formula>NOT(ISERROR(SEARCH("",E15)))</formula>
    </cfRule>
  </conditionalFormatting>
  <conditionalFormatting sqref="E10">
    <cfRule type="containsText" dxfId="53" priority="1" operator="containsText" text="">
      <formula>NOT(ISERROR(SEARCH("",E10)))</formula>
    </cfRule>
    <cfRule type="containsText" dxfId="52" priority="2" operator="containsText" text="">
      <formula>NOT(ISERROR(SEARCH("",E10)))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T12"/>
  <sheetViews>
    <sheetView zoomScale="80" zoomScaleNormal="80" workbookViewId="0">
      <selection activeCell="G3" sqref="G3:G10"/>
    </sheetView>
  </sheetViews>
  <sheetFormatPr defaultRowHeight="15" x14ac:dyDescent="0.25"/>
  <cols>
    <col min="2" max="2" width="11.42578125" customWidth="1"/>
  </cols>
  <sheetData>
    <row r="1" spans="1:72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Y1" s="38" t="s">
        <v>10</v>
      </c>
      <c r="Z1" s="38" t="s">
        <v>11</v>
      </c>
      <c r="AA1" s="38" t="s">
        <v>1</v>
      </c>
      <c r="AB1" s="38" t="s">
        <v>12</v>
      </c>
      <c r="AC1" s="38" t="s">
        <v>13</v>
      </c>
      <c r="AD1" s="38" t="s">
        <v>14</v>
      </c>
      <c r="AE1" s="38" t="s">
        <v>15</v>
      </c>
      <c r="AF1" s="38" t="s">
        <v>16</v>
      </c>
      <c r="AG1" s="38" t="s">
        <v>36</v>
      </c>
      <c r="AH1" s="38" t="s">
        <v>37</v>
      </c>
      <c r="AI1" s="38" t="s">
        <v>38</v>
      </c>
      <c r="AJ1" s="38" t="s">
        <v>39</v>
      </c>
      <c r="AK1" s="38" t="s">
        <v>40</v>
      </c>
      <c r="AL1" s="38" t="s">
        <v>43</v>
      </c>
      <c r="AM1" s="38" t="s">
        <v>45</v>
      </c>
      <c r="AN1" s="38" t="s">
        <v>46</v>
      </c>
      <c r="AO1" s="38" t="s">
        <v>47</v>
      </c>
      <c r="AP1" s="38" t="s">
        <v>48</v>
      </c>
      <c r="AQ1" s="38" t="s">
        <v>49</v>
      </c>
      <c r="AR1" s="38" t="s">
        <v>50</v>
      </c>
      <c r="AS1" s="38" t="s">
        <v>52</v>
      </c>
      <c r="AT1" s="38" t="s">
        <v>53</v>
      </c>
      <c r="AU1" s="38" t="s">
        <v>54</v>
      </c>
      <c r="AV1" s="38" t="s">
        <v>55</v>
      </c>
      <c r="AW1" s="38" t="s">
        <v>56</v>
      </c>
      <c r="AX1" s="38" t="s">
        <v>58</v>
      </c>
      <c r="AY1" s="38" t="s">
        <v>60</v>
      </c>
      <c r="AZ1" s="38" t="s">
        <v>61</v>
      </c>
      <c r="BA1" s="38" t="s">
        <v>63</v>
      </c>
      <c r="BB1" s="38" t="s">
        <v>64</v>
      </c>
      <c r="BC1" s="38" t="s">
        <v>65</v>
      </c>
      <c r="BD1" s="38" t="s">
        <v>67</v>
      </c>
      <c r="BE1" s="38" t="s">
        <v>68</v>
      </c>
      <c r="BF1" s="38" t="s">
        <v>69</v>
      </c>
      <c r="BG1" s="38" t="s">
        <v>71</v>
      </c>
      <c r="BH1" s="38" t="s">
        <v>72</v>
      </c>
      <c r="BI1" s="38" t="s">
        <v>73</v>
      </c>
      <c r="BJ1" s="38" t="s">
        <v>74</v>
      </c>
      <c r="BK1" s="38" t="s">
        <v>75</v>
      </c>
      <c r="BL1" s="38" t="s">
        <v>76</v>
      </c>
      <c r="BM1" s="38" t="s">
        <v>77</v>
      </c>
      <c r="BN1" s="38" t="s">
        <v>78</v>
      </c>
      <c r="BO1" s="38" t="s">
        <v>79</v>
      </c>
      <c r="BP1" s="38" t="s">
        <v>80</v>
      </c>
      <c r="BQ1" s="38" t="s">
        <v>81</v>
      </c>
      <c r="BR1" s="38" t="s">
        <v>82</v>
      </c>
      <c r="BS1" s="38" t="s">
        <v>83</v>
      </c>
      <c r="BT1" s="38" t="s">
        <v>84</v>
      </c>
    </row>
    <row r="2" spans="1:72" ht="12" customHeight="1" thickBot="1" x14ac:dyDescent="0.3">
      <c r="A2" s="23" t="s">
        <v>3</v>
      </c>
      <c r="B2" s="23"/>
      <c r="C2" s="41"/>
      <c r="D2" s="41"/>
      <c r="E2" s="42"/>
      <c r="F2" s="42"/>
      <c r="G2" s="42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</row>
    <row r="3" spans="1:72" ht="12" customHeight="1" thickBot="1" x14ac:dyDescent="0.3">
      <c r="A3" s="26" t="s">
        <v>9</v>
      </c>
      <c r="B3" s="32"/>
      <c r="C3" s="28">
        <v>1.643</v>
      </c>
      <c r="D3" s="28"/>
      <c r="E3" s="29" t="str">
        <f t="shared" ref="E3:E7" si="0">IF(OR(F3="=",F3="≈",F3="—"),"",IF(F3&gt;0,"",IF(F3&lt;0,"","")))</f>
        <v/>
      </c>
      <c r="F3" s="30" t="str">
        <f t="shared" ref="F3:F7" si="1">IFERROR(IF(C3/D3-1=0,"=",IF(C3/D3-1=-1,"—",IF(OR(AND(C3/D3-1&lt;0.005,C3/D3-1&gt;0), AND(C3/D3-1&lt;0,C3/D3-1&gt;-0.005)),"≈",C3/D3-1))),"—")</f>
        <v>—</v>
      </c>
      <c r="G3" s="28">
        <v>1.643</v>
      </c>
      <c r="H3" s="3"/>
      <c r="I3" s="3">
        <f t="shared" ref="I3:I10" si="2">SUM(K3:W3)</f>
        <v>1.643</v>
      </c>
      <c r="K3" s="28"/>
      <c r="L3" s="28"/>
      <c r="M3" s="28"/>
      <c r="N3" s="28">
        <v>1.643</v>
      </c>
      <c r="O3" s="28"/>
      <c r="P3" s="28"/>
      <c r="Q3" s="28"/>
      <c r="R3" s="28"/>
      <c r="S3" s="28"/>
      <c r="T3" s="28"/>
      <c r="U3" s="28"/>
      <c r="V3" s="28"/>
      <c r="Y3" s="4">
        <f t="shared" ref="Y3:AK3" si="3">SUM(Y4:Y10)</f>
        <v>19.245999999999999</v>
      </c>
      <c r="Z3" s="4">
        <f t="shared" si="3"/>
        <v>12.527999999999999</v>
      </c>
      <c r="AA3" s="4">
        <f t="shared" si="3"/>
        <v>26.905000000000001</v>
      </c>
      <c r="AB3" s="4">
        <f t="shared" si="3"/>
        <v>18.746000000000002</v>
      </c>
      <c r="AC3" s="4">
        <f t="shared" si="3"/>
        <v>17.939999999999998</v>
      </c>
      <c r="AD3" s="4">
        <f t="shared" si="3"/>
        <v>9.8539999999999992</v>
      </c>
      <c r="AE3" s="4">
        <f t="shared" si="3"/>
        <v>27.065000000000001</v>
      </c>
      <c r="AF3" s="4">
        <f t="shared" si="3"/>
        <v>6.2169999999999996</v>
      </c>
      <c r="AG3" s="4">
        <f t="shared" si="3"/>
        <v>9.120000000000001</v>
      </c>
      <c r="AH3" s="4">
        <f t="shared" si="3"/>
        <v>11.544</v>
      </c>
      <c r="AI3" s="4">
        <f t="shared" si="3"/>
        <v>14.701999999999998</v>
      </c>
      <c r="AJ3" s="4">
        <f t="shared" si="3"/>
        <v>14.138999999999999</v>
      </c>
      <c r="AK3" s="4">
        <f t="shared" si="3"/>
        <v>7.0670000000000002</v>
      </c>
      <c r="AL3" s="4">
        <f t="shared" ref="AL3:AM3" si="4">SUM(AL4:AL10)</f>
        <v>10.895</v>
      </c>
      <c r="AM3" s="4">
        <f t="shared" si="4"/>
        <v>15.014999999999999</v>
      </c>
      <c r="AN3" s="4">
        <v>11.75</v>
      </c>
      <c r="AO3" s="28">
        <v>28.19</v>
      </c>
      <c r="AP3" s="28">
        <v>14.36</v>
      </c>
      <c r="AQ3" s="28">
        <v>2.35</v>
      </c>
      <c r="AR3" s="28">
        <v>14.97</v>
      </c>
      <c r="AS3" s="28">
        <v>21.57</v>
      </c>
      <c r="AT3" s="28">
        <v>39.659999999999997</v>
      </c>
      <c r="AU3" s="28">
        <v>25.19</v>
      </c>
      <c r="AV3" s="28">
        <v>22.36</v>
      </c>
      <c r="AW3" s="28">
        <v>31.76</v>
      </c>
      <c r="AX3" s="28">
        <v>29.42</v>
      </c>
      <c r="AY3" s="28">
        <v>32.6</v>
      </c>
      <c r="AZ3" s="28">
        <v>40.04</v>
      </c>
      <c r="BA3" s="28">
        <v>22.07</v>
      </c>
      <c r="BB3" s="28">
        <v>21.29</v>
      </c>
      <c r="BC3" s="28">
        <v>31.74</v>
      </c>
      <c r="BD3" s="28">
        <v>26.58</v>
      </c>
      <c r="BE3" s="28">
        <v>37.36</v>
      </c>
      <c r="BF3" s="28">
        <v>25.59</v>
      </c>
      <c r="BG3" s="28">
        <v>7.74</v>
      </c>
      <c r="BH3" s="28">
        <v>7.29</v>
      </c>
      <c r="BI3" s="28">
        <v>2.2519999999999998</v>
      </c>
      <c r="BJ3" s="28">
        <v>2.2999999999999998</v>
      </c>
      <c r="BK3" s="28">
        <v>7.91</v>
      </c>
      <c r="BL3" s="28">
        <v>5.76</v>
      </c>
      <c r="BM3" s="28"/>
      <c r="BN3" s="28"/>
      <c r="BO3" s="28">
        <v>2.2519999999999998</v>
      </c>
      <c r="BP3" s="28"/>
      <c r="BQ3" s="28"/>
      <c r="BR3" s="28">
        <v>10.44</v>
      </c>
      <c r="BS3" s="28">
        <v>1.4359999999999999</v>
      </c>
      <c r="BT3" s="28">
        <v>7.8170000000000002</v>
      </c>
    </row>
    <row r="4" spans="1:72" ht="12" customHeight="1" thickBot="1" x14ac:dyDescent="0.3">
      <c r="A4" s="26"/>
      <c r="B4" s="32" t="s">
        <v>22</v>
      </c>
      <c r="C4" s="33"/>
      <c r="D4" s="33"/>
      <c r="E4" s="29" t="str">
        <f t="shared" si="0"/>
        <v/>
      </c>
      <c r="F4" s="36" t="str">
        <f t="shared" si="1"/>
        <v>—</v>
      </c>
      <c r="G4" s="33">
        <v>0</v>
      </c>
      <c r="H4" s="3"/>
      <c r="I4" s="3">
        <f t="shared" si="2"/>
        <v>0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Y4" s="7">
        <v>6.2119999999999997</v>
      </c>
      <c r="Z4" s="7">
        <v>4.76</v>
      </c>
      <c r="AA4" s="7">
        <v>4.9969999999999999</v>
      </c>
      <c r="AB4" s="7">
        <v>4.76</v>
      </c>
      <c r="AC4" s="7">
        <v>1.595</v>
      </c>
      <c r="AD4" s="7">
        <v>2.9529999999999998</v>
      </c>
      <c r="AE4" s="7">
        <v>9.5519999999999996</v>
      </c>
      <c r="AF4" s="7"/>
      <c r="AG4" s="7">
        <v>4.45</v>
      </c>
      <c r="AH4" s="7">
        <v>4.7610000000000001</v>
      </c>
      <c r="AI4" s="7">
        <v>1.5009999999999999</v>
      </c>
      <c r="AJ4" s="7">
        <v>7.8129999999999997</v>
      </c>
      <c r="AK4" s="7">
        <v>4.76</v>
      </c>
      <c r="AL4" s="7">
        <v>4.7610000000000001</v>
      </c>
      <c r="AM4" s="7">
        <v>6.3579999999999997</v>
      </c>
      <c r="AN4" s="7">
        <v>1.6020000000000001</v>
      </c>
      <c r="AO4" s="33">
        <v>6.3620000000000001</v>
      </c>
      <c r="AP4" s="33">
        <v>4.76</v>
      </c>
      <c r="AQ4" s="33"/>
      <c r="AR4" s="33">
        <v>7.1070000000000002</v>
      </c>
      <c r="AS4" s="33"/>
      <c r="AT4" s="33">
        <v>7.0990000000000002</v>
      </c>
      <c r="AU4" s="33">
        <v>3.1669999999999998</v>
      </c>
      <c r="AV4" s="33"/>
      <c r="AW4" s="33">
        <v>6.3609999999999998</v>
      </c>
      <c r="AX4" s="33">
        <v>8.7140000000000004</v>
      </c>
      <c r="AY4" s="33">
        <v>7.29</v>
      </c>
      <c r="AZ4" s="33">
        <v>6.173</v>
      </c>
      <c r="BA4" s="33">
        <v>1.5509999999999999</v>
      </c>
      <c r="BB4" s="33">
        <v>7.8650000000000002</v>
      </c>
      <c r="BC4" s="33">
        <v>6.36</v>
      </c>
      <c r="BD4" s="33">
        <v>4.7629999999999999</v>
      </c>
      <c r="BE4" s="33">
        <v>7.6660000000000004</v>
      </c>
      <c r="BF4" s="33">
        <v>11.086</v>
      </c>
      <c r="BG4" s="33">
        <v>3.0339999999999998</v>
      </c>
      <c r="BH4" s="33">
        <v>4.7619999999999996</v>
      </c>
      <c r="BI4" s="33"/>
      <c r="BJ4" s="33"/>
      <c r="BK4" s="33">
        <v>4.7640000000000002</v>
      </c>
      <c r="BL4" s="33"/>
      <c r="BM4" s="33"/>
      <c r="BN4" s="33"/>
      <c r="BO4" s="33"/>
      <c r="BP4" s="33"/>
      <c r="BQ4" s="33"/>
      <c r="BR4" s="33">
        <v>8.84</v>
      </c>
      <c r="BS4" s="33">
        <v>1.4359999999999999</v>
      </c>
      <c r="BT4" s="33">
        <v>7.8170000000000002</v>
      </c>
    </row>
    <row r="5" spans="1:72" ht="12" customHeight="1" thickBot="1" x14ac:dyDescent="0.3">
      <c r="A5" s="26"/>
      <c r="B5" s="32" t="s">
        <v>7</v>
      </c>
      <c r="C5" s="33"/>
      <c r="D5" s="33"/>
      <c r="E5" s="29" t="str">
        <f t="shared" si="0"/>
        <v/>
      </c>
      <c r="F5" s="36" t="str">
        <f t="shared" si="1"/>
        <v>—</v>
      </c>
      <c r="G5" s="33">
        <v>0</v>
      </c>
      <c r="H5" s="18"/>
      <c r="I5" s="3">
        <f t="shared" si="2"/>
        <v>0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Y5" s="7">
        <v>10.679</v>
      </c>
      <c r="Z5" s="7">
        <v>6.18</v>
      </c>
      <c r="AA5" s="7">
        <v>21.908000000000001</v>
      </c>
      <c r="AB5" s="7">
        <v>13.986000000000001</v>
      </c>
      <c r="AC5" s="7">
        <v>16.344999999999999</v>
      </c>
      <c r="AD5" s="7">
        <v>4.641</v>
      </c>
      <c r="AE5" s="7">
        <v>12.983000000000001</v>
      </c>
      <c r="AF5" s="7">
        <v>6.2169999999999996</v>
      </c>
      <c r="AG5" s="7">
        <v>4.67</v>
      </c>
      <c r="AH5" s="7">
        <v>4.6989999999999998</v>
      </c>
      <c r="AI5" s="7">
        <v>9.3089999999999993</v>
      </c>
      <c r="AJ5" s="7">
        <v>6.3259999999999996</v>
      </c>
      <c r="AK5" s="7">
        <v>2.3069999999999999</v>
      </c>
      <c r="AL5" s="7">
        <v>6.1340000000000003</v>
      </c>
      <c r="AM5" s="7">
        <v>2.3039999999999998</v>
      </c>
      <c r="AN5" s="7">
        <v>10.145</v>
      </c>
      <c r="AO5" s="33">
        <v>13.956</v>
      </c>
      <c r="AP5" s="33">
        <v>4.7050000000000001</v>
      </c>
      <c r="AQ5" s="33">
        <v>2.35</v>
      </c>
      <c r="AR5" s="33">
        <v>1.488</v>
      </c>
      <c r="AS5" s="33">
        <v>12.519</v>
      </c>
      <c r="AT5" s="33">
        <v>27.032</v>
      </c>
      <c r="AU5" s="33">
        <v>17.276</v>
      </c>
      <c r="AV5" s="33">
        <v>12.803000000000001</v>
      </c>
      <c r="AW5" s="33">
        <v>14.837999999999999</v>
      </c>
      <c r="AX5" s="33">
        <v>10.243</v>
      </c>
      <c r="AY5" s="33">
        <v>14.929</v>
      </c>
      <c r="AZ5" s="33">
        <v>18.701000000000001</v>
      </c>
      <c r="BA5" s="33">
        <v>15.018000000000001</v>
      </c>
      <c r="BB5" s="33">
        <v>10.904999999999999</v>
      </c>
      <c r="BC5" s="33">
        <v>14.83</v>
      </c>
      <c r="BD5" s="33">
        <v>14.606</v>
      </c>
      <c r="BE5" s="33">
        <v>23.475999999999999</v>
      </c>
      <c r="BF5" s="33">
        <v>8.6170000000000009</v>
      </c>
      <c r="BG5" s="33">
        <v>4.7050000000000001</v>
      </c>
      <c r="BH5" s="33"/>
      <c r="BI5" s="33">
        <v>2.2519999999999998</v>
      </c>
      <c r="BJ5" s="33">
        <v>2.2999999999999998</v>
      </c>
      <c r="BK5" s="33">
        <v>0.60499999999999998</v>
      </c>
      <c r="BL5" s="33">
        <v>4.1050000000000004</v>
      </c>
      <c r="BM5" s="33"/>
      <c r="BN5" s="33"/>
      <c r="BO5" s="33">
        <v>2.2519999999999998</v>
      </c>
      <c r="BP5" s="33"/>
      <c r="BQ5" s="33"/>
      <c r="BR5" s="33"/>
      <c r="BS5" s="33"/>
      <c r="BT5" s="33"/>
    </row>
    <row r="6" spans="1:72" ht="11.25" customHeight="1" thickBot="1" x14ac:dyDescent="0.3">
      <c r="A6" s="26"/>
      <c r="B6" s="32" t="s">
        <v>8</v>
      </c>
      <c r="C6" s="33">
        <v>1.643</v>
      </c>
      <c r="D6" s="33"/>
      <c r="E6" s="29" t="str">
        <f t="shared" ref="E6" si="5">IF(OR(F6="=",F6="≈",F6="—"),"",IF(F6&gt;0,"",IF(F6&lt;0,"","")))</f>
        <v/>
      </c>
      <c r="F6" s="36" t="str">
        <f t="shared" ref="F6" si="6">IFERROR(IF(C6/D6-1=0,"=",IF(C6/D6-1=-1,"—",IF(OR(AND(C6/D6-1&lt;0.005,C6/D6-1&gt;0), AND(C6/D6-1&lt;0,C6/D6-1&gt;-0.005)),"≈",C6/D6-1))),"—")</f>
        <v>—</v>
      </c>
      <c r="G6" s="33">
        <v>1.643</v>
      </c>
      <c r="H6" s="18"/>
      <c r="I6" s="3">
        <f t="shared" si="2"/>
        <v>1.643</v>
      </c>
      <c r="K6" s="33"/>
      <c r="L6" s="33"/>
      <c r="M6" s="33"/>
      <c r="N6" s="33">
        <v>1.643</v>
      </c>
      <c r="O6" s="33"/>
      <c r="P6" s="33"/>
      <c r="Q6" s="33"/>
      <c r="R6" s="33"/>
      <c r="S6" s="33"/>
      <c r="T6" s="33"/>
      <c r="U6" s="33"/>
      <c r="V6" s="33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>
        <v>4.8230000000000004</v>
      </c>
      <c r="AN6" s="7"/>
      <c r="AO6" s="33">
        <v>3.2109999999999999</v>
      </c>
      <c r="AP6" s="33">
        <v>3.2909999999999999</v>
      </c>
      <c r="AQ6" s="33"/>
      <c r="AR6" s="33">
        <v>1.641</v>
      </c>
      <c r="AS6" s="33">
        <v>1.554</v>
      </c>
      <c r="AT6" s="33"/>
      <c r="AU6" s="33">
        <v>1.649</v>
      </c>
      <c r="AV6" s="33"/>
      <c r="AW6" s="33">
        <v>3.347</v>
      </c>
      <c r="AX6" s="33">
        <v>5.0229999999999997</v>
      </c>
      <c r="AY6" s="33">
        <v>2.5270000000000001</v>
      </c>
      <c r="AZ6" s="33"/>
      <c r="BA6" s="33"/>
      <c r="BB6" s="33">
        <v>2.52</v>
      </c>
      <c r="BC6" s="33">
        <v>3.34</v>
      </c>
      <c r="BD6" s="33"/>
      <c r="BE6" s="33">
        <v>3.7189999999999999</v>
      </c>
      <c r="BF6" s="33">
        <v>5.8869999999999996</v>
      </c>
      <c r="BG6" s="33"/>
      <c r="BH6" s="33">
        <v>2.528</v>
      </c>
      <c r="BI6" s="33"/>
      <c r="BJ6" s="33"/>
      <c r="BK6" s="33">
        <v>2.544</v>
      </c>
      <c r="BL6" s="33">
        <v>1.651</v>
      </c>
      <c r="BM6" s="33"/>
      <c r="BN6" s="33"/>
      <c r="BO6" s="33"/>
      <c r="BP6" s="33"/>
      <c r="BQ6" s="33"/>
      <c r="BR6" s="33">
        <v>1.6</v>
      </c>
      <c r="BS6" s="33"/>
      <c r="BT6" s="33"/>
    </row>
    <row r="7" spans="1:72" ht="11.25" customHeight="1" thickBot="1" x14ac:dyDescent="0.3">
      <c r="A7" s="26"/>
      <c r="B7" s="32" t="s">
        <v>27</v>
      </c>
      <c r="C7" s="33"/>
      <c r="D7" s="33"/>
      <c r="E7" s="29" t="str">
        <f t="shared" si="0"/>
        <v/>
      </c>
      <c r="F7" s="36" t="str">
        <f t="shared" si="1"/>
        <v>—</v>
      </c>
      <c r="G7" s="33">
        <v>0</v>
      </c>
      <c r="H7" s="18"/>
      <c r="I7" s="3">
        <f t="shared" si="2"/>
        <v>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Y7" s="7">
        <v>2.355</v>
      </c>
      <c r="Z7" s="7">
        <v>1.5880000000000001</v>
      </c>
      <c r="AA7" s="7"/>
      <c r="AB7" s="7"/>
      <c r="AC7" s="7"/>
      <c r="AD7" s="7">
        <v>2.2599999999999998</v>
      </c>
      <c r="AE7" s="7">
        <v>2.3029999999999999</v>
      </c>
      <c r="AF7" s="7"/>
      <c r="AG7" s="7"/>
      <c r="AH7" s="7"/>
      <c r="AI7" s="7">
        <v>1.607</v>
      </c>
      <c r="AJ7" s="7"/>
      <c r="AK7" s="7"/>
      <c r="AL7" s="7"/>
      <c r="AM7" s="7"/>
      <c r="AN7" s="7"/>
      <c r="AO7" s="33"/>
      <c r="AP7" s="33"/>
      <c r="AQ7" s="33"/>
      <c r="AR7" s="33"/>
      <c r="AS7" s="33"/>
      <c r="AT7" s="33"/>
      <c r="AU7" s="33"/>
      <c r="AV7" s="33"/>
      <c r="AW7" s="33"/>
      <c r="AX7" s="33">
        <v>2.3260000000000001</v>
      </c>
      <c r="AY7" s="33">
        <v>4.7430000000000003</v>
      </c>
      <c r="AZ7" s="33">
        <v>4.6929999999999996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</row>
    <row r="8" spans="1:72" ht="12" customHeight="1" thickBot="1" x14ac:dyDescent="0.3">
      <c r="A8" s="31"/>
      <c r="B8" s="32" t="s">
        <v>31</v>
      </c>
      <c r="C8" s="33"/>
      <c r="D8" s="33"/>
      <c r="E8" s="29" t="str">
        <f t="shared" ref="E8" si="7">IF(OR(F8="=",F8="≈",F8="—"),"",IF(F8&gt;0,"",IF(F8&lt;0,"","")))</f>
        <v/>
      </c>
      <c r="F8" s="36" t="str">
        <f t="shared" ref="F8" si="8">IFERROR(IF(C8/D8-1=0,"=",IF(C8/D8-1=-1,"—",IF(OR(AND(C8/D8-1&lt;0.005,C8/D8-1&gt;0), AND(C8/D8-1&lt;0,C8/D8-1&gt;-0.005)),"≈",C8/D8-1))),"—")</f>
        <v>—</v>
      </c>
      <c r="G8" s="33">
        <v>0</v>
      </c>
      <c r="H8" s="18"/>
      <c r="I8" s="3">
        <f t="shared" si="2"/>
        <v>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Y8" s="5"/>
      <c r="Z8" s="5"/>
      <c r="AA8" s="5"/>
      <c r="AB8" s="5"/>
      <c r="AC8" s="5"/>
      <c r="AD8" s="5"/>
      <c r="AE8" s="5">
        <v>2.2269999999999999</v>
      </c>
      <c r="AF8" s="5"/>
      <c r="AG8" s="5"/>
      <c r="AH8" s="5"/>
      <c r="AI8" s="5"/>
      <c r="AJ8" s="5"/>
      <c r="AK8" s="5"/>
      <c r="AL8" s="5"/>
      <c r="AM8" s="5"/>
      <c r="AN8" s="5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</row>
    <row r="9" spans="1:72" ht="12" customHeight="1" thickBot="1" x14ac:dyDescent="0.3">
      <c r="A9" s="31"/>
      <c r="B9" s="32" t="s">
        <v>17</v>
      </c>
      <c r="C9" s="33"/>
      <c r="D9" s="33"/>
      <c r="E9" s="29" t="str">
        <f t="shared" ref="E9" si="9">IF(OR(F9="=",F9="≈",F9="—"),"",IF(F9&gt;0,"",IF(F9&lt;0,"","")))</f>
        <v/>
      </c>
      <c r="F9" s="36" t="str">
        <f t="shared" ref="F9" si="10">IFERROR(IF(C9/D9-1=0,"=",IF(C9/D9-1=-1,"—",IF(OR(AND(C9/D9-1&lt;0.005,C9/D9-1&gt;0), AND(C9/D9-1&lt;0,C9/D9-1&gt;-0.005)),"≈",C9/D9-1))),"—")</f>
        <v>—</v>
      </c>
      <c r="G9" s="33">
        <v>0</v>
      </c>
      <c r="H9" s="3"/>
      <c r="I9" s="3">
        <f t="shared" si="2"/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Y9" s="5"/>
      <c r="Z9" s="5"/>
      <c r="AA9" s="5"/>
      <c r="AB9" s="5"/>
      <c r="AC9" s="5"/>
      <c r="AD9" s="5"/>
      <c r="AE9" s="5"/>
      <c r="AF9" s="5"/>
      <c r="AG9" s="5"/>
      <c r="AH9" s="5">
        <v>2.0840000000000001</v>
      </c>
      <c r="AI9" s="5"/>
      <c r="AJ9" s="5"/>
      <c r="AK9" s="5"/>
      <c r="AL9" s="5"/>
      <c r="AM9" s="5">
        <v>1.53</v>
      </c>
      <c r="AN9" s="5"/>
      <c r="AO9" s="33">
        <v>2.3319999999999999</v>
      </c>
      <c r="AP9" s="33">
        <v>1.6</v>
      </c>
      <c r="AQ9" s="33"/>
      <c r="AR9" s="33">
        <v>4.7370000000000001</v>
      </c>
      <c r="AS9" s="33">
        <v>7.4989999999999997</v>
      </c>
      <c r="AT9" s="33">
        <v>5.53</v>
      </c>
      <c r="AU9" s="33">
        <v>3.093</v>
      </c>
      <c r="AV9" s="33">
        <v>9.56</v>
      </c>
      <c r="AW9" s="33">
        <v>7.218</v>
      </c>
      <c r="AX9" s="33">
        <v>3.1179999999999999</v>
      </c>
      <c r="AY9" s="33">
        <v>3.1120000000000001</v>
      </c>
      <c r="AZ9" s="33">
        <v>10.476000000000001</v>
      </c>
      <c r="BA9" s="33">
        <v>5.4980000000000002</v>
      </c>
      <c r="BB9" s="33"/>
      <c r="BC9" s="33">
        <v>7.21</v>
      </c>
      <c r="BD9" s="33">
        <v>7.2119999999999997</v>
      </c>
      <c r="BE9" s="33">
        <v>2.5</v>
      </c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</row>
    <row r="10" spans="1:72" ht="12" customHeight="1" thickBot="1" x14ac:dyDescent="0.3">
      <c r="A10" s="31"/>
      <c r="B10" s="32" t="s">
        <v>21</v>
      </c>
      <c r="C10" s="33"/>
      <c r="D10" s="33"/>
      <c r="E10" s="29" t="str">
        <f t="shared" ref="E10" si="11">IF(OR(F10="=",F10="≈",F10="—"),"",IF(F10&gt;0,"",IF(F10&lt;0,"","")))</f>
        <v/>
      </c>
      <c r="F10" s="36" t="str">
        <f t="shared" ref="F10" si="12">IFERROR(IF(C10/D10-1=0,"=",IF(C10/D10-1=-1,"—",IF(OR(AND(C10/D10-1&lt;0.005,C10/D10-1&gt;0), AND(C10/D10-1&lt;0,C10/D10-1&gt;-0.005)),"≈",C10/D10-1))),"—")</f>
        <v>—</v>
      </c>
      <c r="G10" s="33">
        <v>0</v>
      </c>
      <c r="H10" s="3"/>
      <c r="I10" s="3">
        <f t="shared" si="2"/>
        <v>0</v>
      </c>
      <c r="K10" s="33"/>
      <c r="L10" s="33"/>
      <c r="M10" s="33"/>
      <c r="N10" s="33"/>
      <c r="Q10" s="33"/>
      <c r="R10" s="33"/>
      <c r="S10" s="33"/>
      <c r="T10" s="33"/>
      <c r="U10" s="33"/>
      <c r="V10" s="33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2.2850000000000001</v>
      </c>
      <c r="AJ10" s="5"/>
      <c r="AK10" s="5"/>
      <c r="AL10" s="5"/>
      <c r="AM10" s="5"/>
      <c r="AN10" s="5"/>
      <c r="AO10" s="33">
        <v>2.3319999999999999</v>
      </c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O10" s="33"/>
      <c r="BP10" s="33"/>
      <c r="BQ10" s="33"/>
      <c r="BR10" s="33"/>
      <c r="BS10" s="33"/>
      <c r="BT10" s="33"/>
    </row>
    <row r="11" spans="1:72" x14ac:dyDescent="0.25">
      <c r="E11" s="17"/>
    </row>
    <row r="12" spans="1:72" x14ac:dyDescent="0.25">
      <c r="E12" s="17"/>
    </row>
  </sheetData>
  <mergeCells count="1">
    <mergeCell ref="E1:F1"/>
  </mergeCells>
  <conditionalFormatting sqref="E3:E10">
    <cfRule type="containsText" dxfId="51" priority="55" operator="containsText" text="">
      <formula>NOT(ISERROR(SEARCH("",E3)))</formula>
    </cfRule>
    <cfRule type="containsText" dxfId="50" priority="56" operator="containsText" text="">
      <formula>NOT(ISERROR(SEARCH("",E3)))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21"/>
  <sheetViews>
    <sheetView zoomScale="70" zoomScaleNormal="70" workbookViewId="0">
      <selection activeCell="C1" sqref="C1:G1"/>
    </sheetView>
  </sheetViews>
  <sheetFormatPr defaultRowHeight="15" x14ac:dyDescent="0.25"/>
  <cols>
    <col min="2" max="2" width="10.140625" customWidth="1"/>
    <col min="3" max="4" width="10.85546875" customWidth="1"/>
    <col min="11" max="11" width="10.85546875" customWidth="1"/>
    <col min="13" max="17" width="10.85546875" customWidth="1"/>
    <col min="19" max="22" width="10.85546875" customWidth="1"/>
    <col min="29" max="29" width="10.85546875" customWidth="1"/>
    <col min="37" max="50" width="10.8554687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52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61</v>
      </c>
      <c r="AY1" s="38" t="s">
        <v>63</v>
      </c>
      <c r="AZ1" s="38" t="s">
        <v>64</v>
      </c>
      <c r="BA1" s="38" t="s">
        <v>65</v>
      </c>
      <c r="BB1" s="38" t="s">
        <v>64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thickBot="1" x14ac:dyDescent="0.3">
      <c r="A2" s="41" t="s">
        <v>3</v>
      </c>
      <c r="B2" s="41"/>
      <c r="C2" s="41"/>
      <c r="D2" s="41"/>
      <c r="E2" s="42"/>
      <c r="F2" s="42"/>
      <c r="G2" s="42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</row>
    <row r="3" spans="1:71" ht="12" customHeight="1" thickBot="1" x14ac:dyDescent="0.3">
      <c r="A3" s="26" t="s">
        <v>9</v>
      </c>
      <c r="B3" s="32"/>
      <c r="C3" s="28">
        <v>2.39</v>
      </c>
      <c r="D3" s="28">
        <v>3.28</v>
      </c>
      <c r="E3" s="29" t="str">
        <f t="shared" ref="E3:E5" si="0">IF(OR(F3="=",F3="≈",F3="—"),"",IF(F3&gt;0,"",IF(F3&lt;0,"","")))</f>
        <v></v>
      </c>
      <c r="F3" s="30">
        <f t="shared" ref="F3:F5" si="1">IFERROR(IF(C3/D3-1=0,"=",IF(C3/D3-1=-1,"—",IF(OR(AND(C3/D3-1&lt;0.005,C3/D3-1&gt;0), AND(C3/D3-1&lt;0,C3/D3-1&gt;-0.005)),"≈",C3/D3-1))),"—")</f>
        <v>-0.27134146341463405</v>
      </c>
      <c r="G3" s="28">
        <v>23.857000000000003</v>
      </c>
      <c r="H3" s="3"/>
      <c r="I3" s="3">
        <f>SUM(K3:V3)</f>
        <v>23.857000000000003</v>
      </c>
      <c r="K3" s="28">
        <v>18.187000000000001</v>
      </c>
      <c r="L3" s="28"/>
      <c r="M3" s="28">
        <v>3.28</v>
      </c>
      <c r="N3" s="28">
        <v>2.39</v>
      </c>
      <c r="O3" s="28"/>
      <c r="P3" s="28"/>
      <c r="Q3" s="28"/>
      <c r="R3" s="28"/>
      <c r="S3" s="28"/>
      <c r="T3" s="28"/>
      <c r="U3" s="28"/>
      <c r="V3" s="28"/>
      <c r="X3" s="4">
        <f t="shared" ref="X3:AL3" si="2">SUM(X4:X7)</f>
        <v>35.701000000000001</v>
      </c>
      <c r="Y3" s="4">
        <f t="shared" si="2"/>
        <v>67.900000000000006</v>
      </c>
      <c r="Z3" s="4">
        <f t="shared" si="2"/>
        <v>38.799999999999997</v>
      </c>
      <c r="AA3" s="4">
        <f t="shared" si="2"/>
        <v>29.1</v>
      </c>
      <c r="AB3" s="4">
        <f t="shared" si="2"/>
        <v>45.1</v>
      </c>
      <c r="AC3" s="4">
        <f t="shared" si="2"/>
        <v>48.000999999999998</v>
      </c>
      <c r="AD3" s="4">
        <f t="shared" si="2"/>
        <v>38.299999999999997</v>
      </c>
      <c r="AE3" s="4">
        <f t="shared" si="2"/>
        <v>58.099999999999994</v>
      </c>
      <c r="AF3" s="4">
        <f t="shared" si="2"/>
        <v>62.650999999999996</v>
      </c>
      <c r="AG3" s="4">
        <f t="shared" si="2"/>
        <v>46</v>
      </c>
      <c r="AH3" s="4">
        <f t="shared" si="2"/>
        <v>48.108999999999995</v>
      </c>
      <c r="AI3" s="4">
        <f t="shared" si="2"/>
        <v>21.053999999999998</v>
      </c>
      <c r="AJ3" s="4">
        <f t="shared" si="2"/>
        <v>32.11</v>
      </c>
      <c r="AK3" s="4">
        <f t="shared" si="2"/>
        <v>35.119999999999997</v>
      </c>
      <c r="AL3" s="4">
        <f t="shared" si="2"/>
        <v>3.01</v>
      </c>
      <c r="AM3" s="4">
        <v>1E-3</v>
      </c>
      <c r="AN3" s="28">
        <v>29.1</v>
      </c>
      <c r="AO3" s="28">
        <v>32.11</v>
      </c>
      <c r="AP3" s="28">
        <v>41.15</v>
      </c>
      <c r="AQ3" s="28">
        <v>47.53</v>
      </c>
      <c r="AR3" s="28">
        <v>38.799999999999997</v>
      </c>
      <c r="AS3" s="28">
        <v>19.399999999999999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7.0549999999999997</v>
      </c>
      <c r="BD3" s="28">
        <v>0</v>
      </c>
      <c r="BE3" s="28">
        <v>9.7949999999999999</v>
      </c>
      <c r="BF3" s="28">
        <v>11.67</v>
      </c>
      <c r="BG3" s="28">
        <v>21.88</v>
      </c>
      <c r="BH3" s="28">
        <v>35.520000000000003</v>
      </c>
      <c r="BI3" s="28">
        <v>21.97</v>
      </c>
      <c r="BJ3" s="28">
        <v>11.19</v>
      </c>
      <c r="BK3" s="28">
        <v>25.31</v>
      </c>
      <c r="BL3" s="28">
        <v>24.14</v>
      </c>
      <c r="BM3" s="28">
        <v>25.75</v>
      </c>
      <c r="BN3" s="28">
        <v>25.32</v>
      </c>
      <c r="BO3" s="28">
        <v>23.184999999999999</v>
      </c>
      <c r="BP3" s="28">
        <v>12.16</v>
      </c>
      <c r="BQ3" s="28">
        <v>2.548</v>
      </c>
      <c r="BR3" s="28">
        <v>11.65</v>
      </c>
      <c r="BS3" s="28">
        <v>24.09</v>
      </c>
    </row>
    <row r="4" spans="1:71" s="21" customFormat="1" ht="12" customHeight="1" thickBot="1" x14ac:dyDescent="0.3">
      <c r="A4" s="31"/>
      <c r="B4" s="32" t="s">
        <v>26</v>
      </c>
      <c r="C4" s="33"/>
      <c r="D4" s="33"/>
      <c r="E4" s="29" t="str">
        <f t="shared" si="0"/>
        <v/>
      </c>
      <c r="F4" s="36" t="str">
        <f t="shared" si="1"/>
        <v>—</v>
      </c>
      <c r="G4" s="33">
        <v>0</v>
      </c>
      <c r="H4" s="19"/>
      <c r="I4" s="3">
        <f t="shared" ref="I4:I10" si="3">SUM(K4:V4)</f>
        <v>0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>
        <v>2.2879999999999998</v>
      </c>
      <c r="BN4" s="33">
        <v>2.3410000000000002</v>
      </c>
      <c r="BO4" s="33"/>
      <c r="BP4" s="33"/>
      <c r="BQ4" s="33"/>
      <c r="BR4" s="33">
        <v>2.3420000000000001</v>
      </c>
      <c r="BS4" s="33"/>
    </row>
    <row r="5" spans="1:71" s="21" customFormat="1" ht="12" customHeight="1" thickBot="1" x14ac:dyDescent="0.3">
      <c r="A5" s="31"/>
      <c r="B5" s="32" t="s">
        <v>8</v>
      </c>
      <c r="C5" s="33">
        <v>2.39</v>
      </c>
      <c r="D5" s="33">
        <v>3.28</v>
      </c>
      <c r="E5" s="29" t="str">
        <f t="shared" si="0"/>
        <v></v>
      </c>
      <c r="F5" s="36">
        <f t="shared" si="1"/>
        <v>-0.27134146341463405</v>
      </c>
      <c r="G5" s="33">
        <v>23.857000000000003</v>
      </c>
      <c r="H5" s="19"/>
      <c r="I5" s="3">
        <f t="shared" si="3"/>
        <v>23.857000000000003</v>
      </c>
      <c r="K5" s="33">
        <v>18.187000000000001</v>
      </c>
      <c r="L5" s="33"/>
      <c r="M5" s="33">
        <v>3.28</v>
      </c>
      <c r="N5" s="33">
        <v>2.39</v>
      </c>
      <c r="O5" s="33"/>
      <c r="P5" s="33"/>
      <c r="Q5" s="33"/>
      <c r="R5" s="33"/>
      <c r="S5" s="33"/>
      <c r="T5" s="33"/>
      <c r="U5" s="33"/>
      <c r="V5" s="33"/>
      <c r="X5" s="7">
        <v>35.701000000000001</v>
      </c>
      <c r="Y5" s="7">
        <v>67.900000000000006</v>
      </c>
      <c r="Z5" s="7">
        <v>38.799999999999997</v>
      </c>
      <c r="AA5" s="7">
        <v>29.1</v>
      </c>
      <c r="AB5" s="7">
        <v>45.1</v>
      </c>
      <c r="AC5" s="7">
        <v>48.000999999999998</v>
      </c>
      <c r="AD5" s="7">
        <v>38.299999999999997</v>
      </c>
      <c r="AE5" s="7">
        <v>51.796999999999997</v>
      </c>
      <c r="AF5" s="7">
        <v>46.945</v>
      </c>
      <c r="AG5" s="7">
        <v>43.648000000000003</v>
      </c>
      <c r="AH5" s="7">
        <v>38.799999999999997</v>
      </c>
      <c r="AI5" s="7">
        <v>21.053999999999998</v>
      </c>
      <c r="AJ5" s="7">
        <v>32.11</v>
      </c>
      <c r="AK5" s="7">
        <v>35.119999999999997</v>
      </c>
      <c r="AL5" s="7">
        <v>3.01</v>
      </c>
      <c r="AM5" s="7"/>
      <c r="AN5" s="33">
        <v>29.1</v>
      </c>
      <c r="AO5" s="33">
        <v>32.11</v>
      </c>
      <c r="AP5" s="33">
        <v>38.799999999999997</v>
      </c>
      <c r="AQ5" s="33">
        <v>45.2</v>
      </c>
      <c r="AR5" s="33">
        <v>38.799999999999997</v>
      </c>
      <c r="AS5" s="33">
        <v>19.399999999999999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>
        <v>4.67</v>
      </c>
      <c r="BG5" s="33">
        <v>12.552</v>
      </c>
      <c r="BH5" s="33">
        <v>14.381</v>
      </c>
      <c r="BI5" s="33">
        <v>12.579000000000001</v>
      </c>
      <c r="BJ5" s="33">
        <v>4.1580000000000004</v>
      </c>
      <c r="BK5" s="33">
        <v>4.0940000000000003</v>
      </c>
      <c r="BL5" s="33">
        <v>21.779</v>
      </c>
      <c r="BM5" s="33">
        <v>21.158999999999999</v>
      </c>
      <c r="BN5" s="33">
        <v>22.975999999999999</v>
      </c>
      <c r="BO5" s="33">
        <v>23.184999999999999</v>
      </c>
      <c r="BP5" s="33">
        <v>9.8369999999999997</v>
      </c>
      <c r="BQ5" s="33">
        <v>2.548</v>
      </c>
      <c r="BR5" s="33"/>
      <c r="BS5" s="33">
        <v>17.071000000000002</v>
      </c>
    </row>
    <row r="6" spans="1:71" ht="12" customHeight="1" thickBot="1" x14ac:dyDescent="0.3">
      <c r="A6" s="31"/>
      <c r="B6" s="32" t="s">
        <v>7</v>
      </c>
      <c r="C6" s="33"/>
      <c r="D6" s="33"/>
      <c r="E6" s="29" t="str">
        <f t="shared" ref="E6" si="4">IF(OR(F6="=",F6="≈",F6="—"),"",IF(F6&gt;0,"",IF(F6&lt;0,"","")))</f>
        <v/>
      </c>
      <c r="F6" s="36" t="str">
        <f t="shared" ref="F6" si="5">IFERROR(IF(C6/D6-1=0,"=",IF(C6/D6-1=-1,"—",IF(OR(AND(C6/D6-1&lt;0.005,C6/D6-1&gt;0), AND(C6/D6-1&lt;0,C6/D6-1&gt;-0.005)),"≈",C6/D6-1))),"—")</f>
        <v>—</v>
      </c>
      <c r="G6" s="33">
        <v>0</v>
      </c>
      <c r="H6" s="19"/>
      <c r="I6" s="3">
        <f t="shared" si="3"/>
        <v>0</v>
      </c>
      <c r="J6" s="21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7"/>
      <c r="Y6" s="7"/>
      <c r="Z6" s="7"/>
      <c r="AA6" s="7"/>
      <c r="AB6" s="7"/>
      <c r="AC6" s="7"/>
      <c r="AD6" s="7"/>
      <c r="AE6" s="7">
        <v>6.3029999999999999</v>
      </c>
      <c r="AF6" s="7">
        <v>1.5009999999999999</v>
      </c>
      <c r="AG6" s="7">
        <v>2.3519999999999999</v>
      </c>
      <c r="AH6" s="7">
        <v>9.3089999999999993</v>
      </c>
      <c r="AI6" s="7"/>
      <c r="AJ6" s="7"/>
      <c r="AK6" s="7"/>
      <c r="AL6" s="7"/>
      <c r="AM6" s="7"/>
      <c r="AN6" s="33"/>
      <c r="AO6" s="33"/>
      <c r="AP6" s="33">
        <v>2.3519999999999999</v>
      </c>
      <c r="AQ6" s="33">
        <v>2.327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>
        <v>14.157999999999999</v>
      </c>
      <c r="BI6" s="33">
        <v>9.3940000000000001</v>
      </c>
      <c r="BJ6" s="33">
        <v>2.3460000000000001</v>
      </c>
      <c r="BK6" s="33"/>
      <c r="BL6" s="33">
        <v>2.3639999999999999</v>
      </c>
      <c r="BM6" s="33">
        <v>2.3029999999999999</v>
      </c>
      <c r="BN6" s="33"/>
      <c r="BO6" s="33"/>
      <c r="BP6" s="33"/>
      <c r="BQ6" s="33"/>
      <c r="BR6" s="33"/>
      <c r="BS6" s="33"/>
    </row>
    <row r="7" spans="1:71" ht="12" customHeight="1" thickBot="1" x14ac:dyDescent="0.3">
      <c r="A7" s="31"/>
      <c r="B7" s="32" t="s">
        <v>25</v>
      </c>
      <c r="C7" s="33"/>
      <c r="D7" s="33"/>
      <c r="E7" s="29" t="str">
        <f t="shared" ref="E7" si="6">IF(OR(F7="=",F7="≈",F7="—"),"",IF(F7&gt;0,"",IF(F7&lt;0,"","")))</f>
        <v/>
      </c>
      <c r="F7" s="36" t="str">
        <f t="shared" ref="F7" si="7">IFERROR(IF(C7/D7-1=0,"=",IF(C7/D7-1=-1,"—",IF(OR(AND(C7/D7-1&lt;0.005,C7/D7-1&gt;0), AND(C7/D7-1&lt;0,C7/D7-1&gt;-0.005)),"≈",C7/D7-1))),"—")</f>
        <v>—</v>
      </c>
      <c r="G7" s="33">
        <v>0</v>
      </c>
      <c r="I7" s="3">
        <f t="shared" si="3"/>
        <v>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X7" s="7"/>
      <c r="Y7" s="7"/>
      <c r="Z7" s="7"/>
      <c r="AA7" s="7"/>
      <c r="AB7" s="7"/>
      <c r="AC7" s="7"/>
      <c r="AD7" s="7"/>
      <c r="AE7" s="7"/>
      <c r="AF7" s="7">
        <v>14.205</v>
      </c>
      <c r="AG7" s="7"/>
      <c r="AH7" s="7"/>
      <c r="AI7" s="7"/>
      <c r="AJ7" s="7"/>
      <c r="AK7" s="7"/>
      <c r="AL7" s="7"/>
      <c r="AM7" s="7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>
        <v>7.0549999999999997</v>
      </c>
      <c r="BD7" s="33"/>
      <c r="BE7" s="33"/>
      <c r="BF7" s="33">
        <v>7</v>
      </c>
      <c r="BG7" s="33"/>
      <c r="BH7" s="33">
        <v>6.9790000000000001</v>
      </c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ht="12" customHeight="1" thickBot="1" x14ac:dyDescent="0.3">
      <c r="A8" s="31"/>
      <c r="B8" s="32" t="s">
        <v>62</v>
      </c>
      <c r="C8" s="33"/>
      <c r="D8" s="33"/>
      <c r="E8" s="29" t="str">
        <f t="shared" ref="E8" si="8">IF(OR(F8="=",F8="≈",F8="—"),"",IF(F8&gt;0,"",IF(F8&lt;0,"","")))</f>
        <v/>
      </c>
      <c r="F8" s="36" t="str">
        <f t="shared" ref="F8" si="9">IFERROR(IF(C8/D8-1=0,"=",IF(C8/D8-1=-1,"—",IF(OR(AND(C8/D8-1&lt;0.005,C8/D8-1&gt;0), AND(C8/D8-1&lt;0,C8/D8-1&gt;-0.005)),"≈",C8/D8-1))),"—")</f>
        <v>—</v>
      </c>
      <c r="G8" s="33">
        <v>0</v>
      </c>
      <c r="I8" s="3">
        <f t="shared" si="3"/>
        <v>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X8" s="7"/>
      <c r="Y8" s="7"/>
      <c r="Z8" s="7"/>
      <c r="AA8" s="7"/>
      <c r="AB8" s="7"/>
      <c r="AC8" s="7"/>
      <c r="AD8" s="7"/>
      <c r="AE8" s="7"/>
      <c r="AF8" s="7">
        <v>14.205</v>
      </c>
      <c r="AG8" s="7"/>
      <c r="AH8" s="7"/>
      <c r="AI8" s="7"/>
      <c r="AJ8" s="7"/>
      <c r="AK8" s="7"/>
      <c r="AL8" s="7"/>
      <c r="AM8" s="7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>
        <v>9.7949999999999999</v>
      </c>
      <c r="BF8" s="33"/>
      <c r="BG8" s="33"/>
      <c r="BH8" s="33"/>
      <c r="BI8" s="33"/>
      <c r="BJ8" s="33"/>
      <c r="BK8" s="33">
        <v>11.845000000000001</v>
      </c>
      <c r="BL8" s="33"/>
      <c r="BM8" s="33"/>
      <c r="BN8" s="33"/>
      <c r="BO8" s="33"/>
      <c r="BP8" s="33"/>
      <c r="BQ8" s="33"/>
      <c r="BR8" s="33"/>
      <c r="BS8" s="33"/>
    </row>
    <row r="9" spans="1:71" ht="12" customHeight="1" thickBot="1" x14ac:dyDescent="0.3">
      <c r="A9" s="31"/>
      <c r="B9" s="32" t="s">
        <v>17</v>
      </c>
      <c r="C9" s="33"/>
      <c r="D9" s="33"/>
      <c r="E9" s="29" t="str">
        <f t="shared" ref="E9:E10" si="10">IF(OR(F9="=",F9="≈",F9="—"),"",IF(F9&gt;0,"",IF(F9&lt;0,"","")))</f>
        <v/>
      </c>
      <c r="F9" s="36" t="str">
        <f t="shared" ref="F9:F10" si="11">IFERROR(IF(C9/D9-1=0,"=",IF(C9/D9-1=-1,"—",IF(OR(AND(C9/D9-1&lt;0.005,C9/D9-1&gt;0), AND(C9/D9-1&lt;0,C9/D9-1&gt;-0.005)),"≈",C9/D9-1))),"—")</f>
        <v>—</v>
      </c>
      <c r="G9" s="33">
        <v>0</v>
      </c>
      <c r="I9" s="3">
        <f t="shared" si="3"/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>
        <v>6.9850000000000003</v>
      </c>
      <c r="BH9" s="33"/>
      <c r="BI9" s="33"/>
      <c r="BJ9" s="33"/>
      <c r="BK9" s="33">
        <v>7.0359999999999996</v>
      </c>
      <c r="BL9" s="33"/>
      <c r="BM9" s="33"/>
      <c r="BN9" s="33"/>
      <c r="BO9" s="33"/>
      <c r="BP9" s="33"/>
      <c r="BQ9" s="33"/>
      <c r="BR9" s="33"/>
      <c r="BS9" s="33"/>
    </row>
    <row r="10" spans="1:71" ht="12" customHeight="1" thickBot="1" x14ac:dyDescent="0.3">
      <c r="A10" s="31"/>
      <c r="B10" s="32" t="s">
        <v>28</v>
      </c>
      <c r="C10" s="33"/>
      <c r="D10" s="33"/>
      <c r="E10" s="29" t="str">
        <f t="shared" si="10"/>
        <v/>
      </c>
      <c r="F10" s="36" t="str">
        <f t="shared" si="11"/>
        <v>—</v>
      </c>
      <c r="G10" s="33">
        <v>0</v>
      </c>
      <c r="I10" s="3">
        <f t="shared" si="3"/>
        <v>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>
        <v>2.3450000000000002</v>
      </c>
      <c r="BH10" s="33"/>
      <c r="BI10" s="33"/>
      <c r="BJ10" s="33">
        <v>4.681</v>
      </c>
      <c r="BK10" s="33">
        <v>2.335</v>
      </c>
      <c r="BL10" s="33"/>
      <c r="BM10" s="33"/>
      <c r="BN10" s="33"/>
      <c r="BO10" s="33"/>
      <c r="BP10" s="33">
        <v>2.323</v>
      </c>
      <c r="BQ10" s="33"/>
      <c r="BR10" s="33">
        <v>9.3049999999999997</v>
      </c>
      <c r="BS10" s="33">
        <v>7.0170000000000003</v>
      </c>
    </row>
    <row r="11" spans="1:71" ht="15.75" thickBot="1" x14ac:dyDescent="0.3"/>
    <row r="12" spans="1:71" s="21" customFormat="1" ht="12" customHeight="1" thickBot="1" x14ac:dyDescent="0.3">
      <c r="A12" s="31"/>
      <c r="B12" s="32" t="s">
        <v>6</v>
      </c>
      <c r="C12" s="33"/>
      <c r="D12" s="33"/>
      <c r="E12" s="29" t="str">
        <f t="shared" ref="E12:E14" si="12">IF(OR(F12="=",F12="≈",F12="—"),"",IF(F12&gt;0,"",IF(F12&lt;0,"","")))</f>
        <v/>
      </c>
      <c r="F12" s="36" t="str">
        <f t="shared" ref="F12:F14" si="13">IFERROR(IF(C12/D12-1=0,"=",IF(C12/D12-1=-1,"—",IF(OR(AND(C12/D12-1&lt;0.005,C12/D12-1&gt;0), AND(C12/D12-1&lt;0,C12/D12-1&gt;-0.005)),"≈",C12/D12-1))),"—")</f>
        <v>—</v>
      </c>
      <c r="G12" s="33">
        <v>0</v>
      </c>
      <c r="H12" s="19"/>
      <c r="I12" s="3">
        <f>SUM(AV12:BG12)</f>
        <v>0</v>
      </c>
      <c r="K12" s="33"/>
      <c r="L12" s="33"/>
      <c r="M12" s="33"/>
      <c r="N12" s="33"/>
      <c r="O12" s="33"/>
      <c r="P12" s="33"/>
      <c r="Q12" s="33"/>
      <c r="S12" s="33"/>
      <c r="T12" s="33"/>
      <c r="U12" s="33"/>
      <c r="V12" s="33"/>
      <c r="X12" s="7"/>
      <c r="Y12" s="7">
        <v>10.023</v>
      </c>
      <c r="Z12" s="7"/>
      <c r="AA12" s="7"/>
      <c r="AB12" s="7">
        <v>10.058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1:71" ht="12" customHeight="1" thickBot="1" x14ac:dyDescent="0.3">
      <c r="A13" s="31"/>
      <c r="B13" s="32" t="s">
        <v>21</v>
      </c>
      <c r="C13" s="33"/>
      <c r="D13" s="33"/>
      <c r="E13" s="29" t="str">
        <f t="shared" si="12"/>
        <v/>
      </c>
      <c r="F13" s="36" t="str">
        <f t="shared" si="13"/>
        <v>—</v>
      </c>
      <c r="G13" s="33">
        <v>0</v>
      </c>
      <c r="H13" s="19"/>
      <c r="I13" s="3">
        <f>SUM(AV13:BG13)</f>
        <v>0</v>
      </c>
      <c r="J13" s="21"/>
      <c r="K13" s="33"/>
      <c r="L13" s="33"/>
      <c r="M13" s="33"/>
      <c r="N13" s="33"/>
      <c r="O13" s="33"/>
      <c r="P13" s="33"/>
      <c r="Q13" s="33"/>
      <c r="S13" s="33"/>
      <c r="T13" s="33"/>
      <c r="U13" s="33"/>
      <c r="V13" s="33"/>
      <c r="X13" s="7"/>
      <c r="Y13" s="7"/>
      <c r="Z13" s="7"/>
      <c r="AA13" s="7"/>
      <c r="AB13" s="7"/>
      <c r="AC13" s="7"/>
      <c r="AD13" s="7">
        <v>5.8959999999999999</v>
      </c>
      <c r="AE13" s="7"/>
      <c r="AF13" s="7">
        <v>4.75</v>
      </c>
      <c r="AG13" s="7">
        <v>8.85</v>
      </c>
      <c r="AH13" s="7">
        <v>2.2850000000000001</v>
      </c>
      <c r="AI13" s="7"/>
      <c r="AJ13" s="7"/>
      <c r="AK13" s="7"/>
      <c r="AL13" s="7"/>
      <c r="AM13" s="7">
        <v>1E-3</v>
      </c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</row>
    <row r="14" spans="1:71" ht="12" customHeight="1" thickBot="1" x14ac:dyDescent="0.3">
      <c r="A14" s="31"/>
      <c r="B14" s="32" t="s">
        <v>22</v>
      </c>
      <c r="C14" s="33"/>
      <c r="D14" s="33"/>
      <c r="E14" s="29" t="str">
        <f t="shared" si="12"/>
        <v/>
      </c>
      <c r="F14" s="36" t="str">
        <f t="shared" si="13"/>
        <v>—</v>
      </c>
      <c r="G14" s="33">
        <v>0</v>
      </c>
      <c r="H14" s="19"/>
      <c r="I14" s="3">
        <f>SUM(AV14:BG14)</f>
        <v>0</v>
      </c>
      <c r="J14" s="21"/>
      <c r="K14" s="33"/>
      <c r="L14" s="33"/>
      <c r="M14" s="33"/>
      <c r="N14" s="33"/>
      <c r="O14" s="33"/>
      <c r="P14" s="33"/>
      <c r="Q14" s="33"/>
      <c r="S14" s="33"/>
      <c r="T14" s="33"/>
      <c r="U14" s="33"/>
      <c r="V14" s="33"/>
      <c r="X14" s="7"/>
      <c r="Y14" s="7"/>
      <c r="Z14" s="7"/>
      <c r="AA14" s="7"/>
      <c r="AB14" s="7"/>
      <c r="AC14" s="7"/>
      <c r="AD14" s="7"/>
      <c r="AE14" s="7">
        <v>6.2759999999999998</v>
      </c>
      <c r="AF14" s="7">
        <v>2.35</v>
      </c>
      <c r="AG14" s="7">
        <v>1.5</v>
      </c>
      <c r="AH14" s="7">
        <v>1.5009999999999999</v>
      </c>
      <c r="AI14" s="7"/>
      <c r="AJ14" s="7"/>
      <c r="AK14" s="7"/>
      <c r="AL14" s="7"/>
      <c r="AM14" s="7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</row>
    <row r="20" spans="1:59" ht="15.75" thickBot="1" x14ac:dyDescent="0.3"/>
    <row r="21" spans="1:59" s="21" customFormat="1" ht="12" customHeight="1" thickBot="1" x14ac:dyDescent="0.3">
      <c r="A21" s="31"/>
      <c r="B21" s="32" t="s">
        <v>4</v>
      </c>
      <c r="C21" s="33"/>
      <c r="D21" s="33"/>
      <c r="E21" s="29" t="str">
        <f t="shared" ref="E21" si="14">IF(OR(F21="=",F21="≈",F21="—"),"",IF(F21&gt;0,"",IF(F21&lt;0,"","")))</f>
        <v/>
      </c>
      <c r="F21" s="36" t="str">
        <f t="shared" ref="F21" si="15">IFERROR(IF(C21/D21-1=0,"=",IF(C21/D21-1=-1,"—",IF(OR(AND(C21/D21-1&lt;0.005,C21/D21-1&gt;0), AND(C21/D21-1&lt;0,C21/D21-1&gt;-0.005)),"≈",C21/D21-1))),"—")</f>
        <v>—</v>
      </c>
      <c r="G21" s="33">
        <v>0</v>
      </c>
      <c r="H21" s="19"/>
      <c r="I21" s="3">
        <f t="shared" ref="I21" si="16">SUM(K21:V21)</f>
        <v>0</v>
      </c>
      <c r="K21" s="33"/>
      <c r="L21" s="33"/>
      <c r="M21" s="33"/>
      <c r="N21" s="33"/>
      <c r="O21" s="33"/>
      <c r="P21" s="33"/>
      <c r="Q21" s="33"/>
      <c r="S21" s="33"/>
      <c r="T21" s="33"/>
      <c r="U21" s="33"/>
      <c r="V21" s="33"/>
      <c r="X21" s="7">
        <v>19.28</v>
      </c>
      <c r="Y21" s="7"/>
      <c r="Z21" s="7"/>
      <c r="AA21" s="7"/>
      <c r="AB21" s="7">
        <v>12.554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</row>
  </sheetData>
  <mergeCells count="1">
    <mergeCell ref="E1:F1"/>
  </mergeCells>
  <conditionalFormatting sqref="E3:E7">
    <cfRule type="containsText" dxfId="49" priority="11" operator="containsText" text="">
      <formula>NOT(ISERROR(SEARCH("",E3)))</formula>
    </cfRule>
    <cfRule type="containsText" dxfId="48" priority="12" operator="containsText" text="">
      <formula>NOT(ISERROR(SEARCH("",E3)))</formula>
    </cfRule>
  </conditionalFormatting>
  <conditionalFormatting sqref="E8">
    <cfRule type="containsText" dxfId="47" priority="9" operator="containsText" text="">
      <formula>NOT(ISERROR(SEARCH("",E8)))</formula>
    </cfRule>
    <cfRule type="containsText" dxfId="46" priority="10" operator="containsText" text="">
      <formula>NOT(ISERROR(SEARCH("",E8)))</formula>
    </cfRule>
  </conditionalFormatting>
  <conditionalFormatting sqref="E12:E14">
    <cfRule type="containsText" dxfId="45" priority="7" operator="containsText" text="">
      <formula>NOT(ISERROR(SEARCH("",E12)))</formula>
    </cfRule>
    <cfRule type="containsText" dxfId="44" priority="8" operator="containsText" text="">
      <formula>NOT(ISERROR(SEARCH("",E12)))</formula>
    </cfRule>
  </conditionalFormatting>
  <conditionalFormatting sqref="E9">
    <cfRule type="containsText" dxfId="43" priority="5" operator="containsText" text="">
      <formula>NOT(ISERROR(SEARCH("",E9)))</formula>
    </cfRule>
    <cfRule type="containsText" dxfId="42" priority="6" operator="containsText" text="">
      <formula>NOT(ISERROR(SEARCH("",E9)))</formula>
    </cfRule>
  </conditionalFormatting>
  <conditionalFormatting sqref="E10">
    <cfRule type="containsText" dxfId="41" priority="3" operator="containsText" text="">
      <formula>NOT(ISERROR(SEARCH("",E10)))</formula>
    </cfRule>
    <cfRule type="containsText" dxfId="40" priority="4" operator="containsText" text="">
      <formula>NOT(ISERROR(SEARCH("",E10)))</formula>
    </cfRule>
  </conditionalFormatting>
  <conditionalFormatting sqref="E21">
    <cfRule type="containsText" dxfId="39" priority="1" operator="containsText" text="">
      <formula>NOT(ISERROR(SEARCH("",E21)))</formula>
    </cfRule>
    <cfRule type="containsText" dxfId="38" priority="2" operator="containsText" text="">
      <formula>NOT(ISERROR(SEARCH("",E21)))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T10"/>
  <sheetViews>
    <sheetView tabSelected="1" zoomScale="90" zoomScaleNormal="90" workbookViewId="0">
      <selection activeCell="C1" sqref="C1:G1"/>
    </sheetView>
  </sheetViews>
  <sheetFormatPr defaultRowHeight="15" x14ac:dyDescent="0.25"/>
  <cols>
    <col min="2" max="2" width="12.28515625" customWidth="1"/>
  </cols>
  <sheetData>
    <row r="1" spans="1:72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Y1" s="38" t="s">
        <v>10</v>
      </c>
      <c r="Z1" s="38" t="s">
        <v>11</v>
      </c>
      <c r="AA1" s="38" t="s">
        <v>1</v>
      </c>
      <c r="AB1" s="38" t="s">
        <v>12</v>
      </c>
      <c r="AC1" s="38" t="s">
        <v>13</v>
      </c>
      <c r="AD1" s="38" t="s">
        <v>14</v>
      </c>
      <c r="AE1" s="38" t="s">
        <v>15</v>
      </c>
      <c r="AF1" s="38" t="s">
        <v>16</v>
      </c>
      <c r="AG1" s="38" t="s">
        <v>36</v>
      </c>
      <c r="AH1" s="38" t="s">
        <v>37</v>
      </c>
      <c r="AI1" s="38" t="s">
        <v>38</v>
      </c>
      <c r="AJ1" s="38" t="s">
        <v>39</v>
      </c>
      <c r="AK1" s="38" t="s">
        <v>40</v>
      </c>
      <c r="AL1" s="38" t="s">
        <v>43</v>
      </c>
      <c r="AM1" s="38" t="s">
        <v>45</v>
      </c>
      <c r="AN1" s="38" t="s">
        <v>46</v>
      </c>
      <c r="AO1" s="38" t="s">
        <v>47</v>
      </c>
      <c r="AP1" s="38" t="s">
        <v>48</v>
      </c>
      <c r="AQ1" s="38" t="s">
        <v>49</v>
      </c>
      <c r="AR1" s="38" t="s">
        <v>50</v>
      </c>
      <c r="AS1" s="38" t="s">
        <v>52</v>
      </c>
      <c r="AT1" s="38" t="s">
        <v>53</v>
      </c>
      <c r="AU1" s="38" t="s">
        <v>54</v>
      </c>
      <c r="AV1" s="38" t="s">
        <v>55</v>
      </c>
      <c r="AW1" s="38" t="s">
        <v>56</v>
      </c>
      <c r="AX1" s="38" t="s">
        <v>58</v>
      </c>
      <c r="AY1" s="38" t="s">
        <v>60</v>
      </c>
      <c r="AZ1" s="38" t="s">
        <v>61</v>
      </c>
      <c r="BA1" s="38" t="s">
        <v>63</v>
      </c>
      <c r="BB1" s="38" t="s">
        <v>64</v>
      </c>
      <c r="BC1" s="38" t="s">
        <v>65</v>
      </c>
      <c r="BD1" s="38" t="s">
        <v>67</v>
      </c>
      <c r="BE1" s="38" t="s">
        <v>70</v>
      </c>
      <c r="BF1" s="38" t="s">
        <v>69</v>
      </c>
      <c r="BG1" s="38" t="s">
        <v>71</v>
      </c>
      <c r="BH1" s="38" t="s">
        <v>72</v>
      </c>
      <c r="BI1" s="38" t="s">
        <v>73</v>
      </c>
      <c r="BJ1" s="38" t="s">
        <v>74</v>
      </c>
      <c r="BK1" s="38" t="s">
        <v>75</v>
      </c>
      <c r="BL1" s="38" t="s">
        <v>76</v>
      </c>
      <c r="BM1" s="38" t="s">
        <v>77</v>
      </c>
      <c r="BN1" s="38" t="s">
        <v>78</v>
      </c>
      <c r="BO1" s="38" t="s">
        <v>79</v>
      </c>
      <c r="BP1" s="38" t="s">
        <v>80</v>
      </c>
      <c r="BQ1" s="38" t="s">
        <v>81</v>
      </c>
      <c r="BR1" s="38" t="s">
        <v>82</v>
      </c>
      <c r="BS1" s="38" t="s">
        <v>83</v>
      </c>
      <c r="BT1" s="38" t="s">
        <v>84</v>
      </c>
    </row>
    <row r="2" spans="1:72" ht="12" customHeight="1" thickBot="1" x14ac:dyDescent="0.3">
      <c r="A2" s="23" t="s">
        <v>3</v>
      </c>
      <c r="B2" s="23"/>
      <c r="C2" s="1"/>
      <c r="D2" s="1"/>
      <c r="E2" s="1"/>
      <c r="F2" s="1"/>
      <c r="G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s="10" customFormat="1" ht="12" customHeight="1" thickBot="1" x14ac:dyDescent="0.3">
      <c r="A3" s="26" t="s">
        <v>21</v>
      </c>
      <c r="B3" s="27"/>
      <c r="C3" s="28">
        <v>10.74</v>
      </c>
      <c r="D3" s="28">
        <v>0</v>
      </c>
      <c r="E3" s="29" t="str">
        <f t="shared" ref="E3:E8" si="0">IF(OR(F3="=",F3="≈",F3="—"),"",IF(F3&gt;0,"",IF(F3&lt;0,"","")))</f>
        <v/>
      </c>
      <c r="F3" s="30" t="str">
        <f t="shared" ref="F3:F8" si="1">IFERROR(IF(C3/D3-1=0,"=",IF(C3/D3-1=-1,"—",IF(OR(AND(C3/D3-1&lt;0.005,C3/D3-1&gt;0), AND(C3/D3-1&lt;0,C3/D3-1&gt;-0.005)),"≈",C3/D3-1))),"—")</f>
        <v>—</v>
      </c>
      <c r="G3" s="28">
        <v>14.585000000000001</v>
      </c>
      <c r="H3" s="18"/>
      <c r="I3" s="18">
        <f>SUM(K3:W3)</f>
        <v>14.585000000000001</v>
      </c>
      <c r="K3" s="28">
        <v>2.2719999999999998</v>
      </c>
      <c r="L3" s="28">
        <v>1.573</v>
      </c>
      <c r="M3" s="28">
        <v>0</v>
      </c>
      <c r="N3" s="28">
        <v>10.74</v>
      </c>
      <c r="O3" s="28"/>
      <c r="P3" s="28"/>
      <c r="Q3" s="28"/>
      <c r="R3" s="28"/>
      <c r="S3" s="28"/>
      <c r="T3" s="28"/>
      <c r="U3" s="28"/>
      <c r="V3" s="28"/>
      <c r="Y3" s="11">
        <f t="shared" ref="Y3:AJ3" si="2">SUM(Y4:Y7)</f>
        <v>0</v>
      </c>
      <c r="Z3" s="11">
        <f t="shared" si="2"/>
        <v>0</v>
      </c>
      <c r="AA3" s="11">
        <f t="shared" si="2"/>
        <v>0</v>
      </c>
      <c r="AB3" s="11">
        <f t="shared" si="2"/>
        <v>0</v>
      </c>
      <c r="AC3" s="11">
        <f t="shared" si="2"/>
        <v>0</v>
      </c>
      <c r="AD3" s="11">
        <f t="shared" si="2"/>
        <v>0</v>
      </c>
      <c r="AE3" s="11">
        <f t="shared" si="2"/>
        <v>0</v>
      </c>
      <c r="AF3" s="11">
        <f t="shared" si="2"/>
        <v>5.875</v>
      </c>
      <c r="AG3" s="11">
        <f t="shared" si="2"/>
        <v>10.108000000000001</v>
      </c>
      <c r="AH3" s="11">
        <f t="shared" si="2"/>
        <v>19.318999999999999</v>
      </c>
      <c r="AI3" s="11">
        <f t="shared" si="2"/>
        <v>19.050999999999998</v>
      </c>
      <c r="AJ3" s="11">
        <f t="shared" si="2"/>
        <v>15.582000000000001</v>
      </c>
      <c r="AK3" s="11">
        <f>SUM(AK4:AK8)</f>
        <v>18.460999999999999</v>
      </c>
      <c r="AL3" s="11">
        <f>SUM(AL4:AL8)</f>
        <v>14.866</v>
      </c>
      <c r="AM3" s="11">
        <f>SUM(AM4:AM8)</f>
        <v>10.145999999999999</v>
      </c>
      <c r="AN3" s="11">
        <v>12.16</v>
      </c>
      <c r="AO3" s="28">
        <v>2.2669999999999999</v>
      </c>
      <c r="AP3" s="28"/>
      <c r="AQ3" s="28"/>
      <c r="AR3" s="28">
        <v>3.1930000000000001</v>
      </c>
      <c r="AS3" s="28">
        <v>9.4160000000000004</v>
      </c>
      <c r="AT3" s="28">
        <v>9.2520000000000007</v>
      </c>
      <c r="AU3" s="28">
        <v>2.3540000000000001</v>
      </c>
      <c r="AV3" s="28">
        <v>4.0739999999999998</v>
      </c>
      <c r="AW3" s="28">
        <v>13.32</v>
      </c>
      <c r="AX3" s="28">
        <v>6.2789999999999999</v>
      </c>
      <c r="AY3" s="28">
        <v>7.7220000000000004</v>
      </c>
      <c r="AZ3" s="28">
        <v>0</v>
      </c>
      <c r="BA3" s="28">
        <v>2.31</v>
      </c>
      <c r="BB3" s="28">
        <v>2.31</v>
      </c>
      <c r="BC3" s="28">
        <v>7.2160000000000002</v>
      </c>
      <c r="BD3" s="28"/>
      <c r="BE3" s="28">
        <v>2.2610000000000001</v>
      </c>
      <c r="BF3" s="28">
        <v>2.27</v>
      </c>
      <c r="BG3" s="28">
        <v>1.61</v>
      </c>
      <c r="BH3" s="28"/>
      <c r="BI3" s="28">
        <v>2.246</v>
      </c>
      <c r="BJ3" s="28"/>
      <c r="BK3" s="28">
        <v>2.2799999999999998</v>
      </c>
      <c r="BL3" s="28">
        <v>1.528</v>
      </c>
      <c r="BM3" s="28"/>
      <c r="BN3" s="28"/>
      <c r="BO3" s="28"/>
      <c r="BP3" s="28">
        <v>2.25</v>
      </c>
      <c r="BQ3" s="28">
        <v>2.319</v>
      </c>
      <c r="BR3" s="28">
        <v>6.85</v>
      </c>
      <c r="BS3" s="28"/>
      <c r="BT3" s="28">
        <v>0</v>
      </c>
    </row>
    <row r="4" spans="1:72" s="10" customFormat="1" ht="12" customHeight="1" thickBot="1" x14ac:dyDescent="0.3">
      <c r="A4" s="31"/>
      <c r="B4" s="32" t="s">
        <v>7</v>
      </c>
      <c r="C4" s="33"/>
      <c r="D4" s="33"/>
      <c r="E4" s="29" t="str">
        <f t="shared" si="0"/>
        <v/>
      </c>
      <c r="F4" s="36" t="str">
        <f t="shared" si="1"/>
        <v>—</v>
      </c>
      <c r="G4" s="33">
        <v>0</v>
      </c>
      <c r="H4" s="18"/>
      <c r="I4" s="18">
        <f t="shared" ref="I4:I8" si="3">SUM(K4:W4)</f>
        <v>0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>
        <v>4.4349999999999996</v>
      </c>
      <c r="AJ4" s="12">
        <v>2.3010000000000002</v>
      </c>
      <c r="AK4" s="12">
        <v>2.2919999999999998</v>
      </c>
      <c r="AL4" s="12"/>
      <c r="AM4" s="12">
        <v>6.9989999999999997</v>
      </c>
      <c r="AN4" s="12">
        <v>7.8380000000000001</v>
      </c>
      <c r="AO4" s="33"/>
      <c r="AP4" s="33"/>
      <c r="AQ4" s="33"/>
      <c r="AR4" s="33"/>
      <c r="AS4" s="33">
        <v>2.3279999999999998</v>
      </c>
      <c r="AT4" s="33">
        <v>2.2970000000000002</v>
      </c>
      <c r="AU4" s="33">
        <v>2.3540000000000001</v>
      </c>
      <c r="AV4" s="33">
        <v>4.0739999999999998</v>
      </c>
      <c r="AW4" s="33">
        <v>4.6660000000000004</v>
      </c>
      <c r="AX4" s="33"/>
      <c r="AY4" s="33"/>
      <c r="AZ4" s="33"/>
      <c r="BA4" s="33">
        <v>2.31</v>
      </c>
      <c r="BB4" s="33">
        <v>2.31</v>
      </c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>
        <v>2.25</v>
      </c>
      <c r="BQ4" s="33">
        <v>2.319</v>
      </c>
      <c r="BR4" s="33">
        <v>4.5469999999999997</v>
      </c>
      <c r="BS4" s="33"/>
      <c r="BT4" s="33"/>
    </row>
    <row r="5" spans="1:72" ht="12" customHeight="1" thickBot="1" x14ac:dyDescent="0.3">
      <c r="A5" s="31"/>
      <c r="B5" s="32" t="s">
        <v>9</v>
      </c>
      <c r="C5" s="33"/>
      <c r="D5" s="33"/>
      <c r="E5" s="29" t="str">
        <f t="shared" si="0"/>
        <v/>
      </c>
      <c r="F5" s="36" t="str">
        <f t="shared" si="1"/>
        <v>—</v>
      </c>
      <c r="G5" s="33">
        <v>0</v>
      </c>
      <c r="H5" s="18"/>
      <c r="I5" s="18">
        <f t="shared" si="3"/>
        <v>0</v>
      </c>
      <c r="J5" s="10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Y5" s="12"/>
      <c r="Z5" s="12"/>
      <c r="AA5" s="12"/>
      <c r="AB5" s="12"/>
      <c r="AC5" s="12"/>
      <c r="AD5" s="12"/>
      <c r="AE5" s="12"/>
      <c r="AF5" s="12">
        <v>5.875</v>
      </c>
      <c r="AG5" s="12">
        <v>10.108000000000001</v>
      </c>
      <c r="AH5" s="12">
        <v>8.8369999999999997</v>
      </c>
      <c r="AI5" s="12"/>
      <c r="AJ5" s="12"/>
      <c r="AK5" s="12"/>
      <c r="AL5" s="12"/>
      <c r="AM5" s="12"/>
      <c r="AN5" s="12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</row>
    <row r="6" spans="1:72" ht="12" customHeight="1" thickBot="1" x14ac:dyDescent="0.3">
      <c r="A6" s="31"/>
      <c r="B6" s="32" t="s">
        <v>17</v>
      </c>
      <c r="C6" s="33">
        <v>3.89</v>
      </c>
      <c r="D6" s="33"/>
      <c r="E6" s="29" t="str">
        <f t="shared" si="0"/>
        <v/>
      </c>
      <c r="F6" s="36" t="str">
        <f t="shared" si="1"/>
        <v>—</v>
      </c>
      <c r="G6" s="33">
        <v>5.4630000000000001</v>
      </c>
      <c r="I6" s="18">
        <f t="shared" si="3"/>
        <v>5.4630000000000001</v>
      </c>
      <c r="K6" s="33"/>
      <c r="L6" s="33">
        <v>1.573</v>
      </c>
      <c r="M6" s="33"/>
      <c r="N6" s="33">
        <v>3.89</v>
      </c>
      <c r="O6" s="33"/>
      <c r="P6" s="33"/>
      <c r="Q6" s="33"/>
      <c r="R6" s="33"/>
      <c r="S6" s="33"/>
      <c r="T6" s="33"/>
      <c r="U6" s="33"/>
      <c r="V6" s="33"/>
      <c r="Y6" s="12"/>
      <c r="Z6" s="12"/>
      <c r="AA6" s="12"/>
      <c r="AB6" s="12"/>
      <c r="AC6" s="12"/>
      <c r="AD6" s="12"/>
      <c r="AE6" s="12"/>
      <c r="AF6" s="12"/>
      <c r="AG6" s="12"/>
      <c r="AH6" s="12">
        <v>10.481999999999999</v>
      </c>
      <c r="AI6" s="12">
        <v>11.483000000000001</v>
      </c>
      <c r="AJ6" s="12">
        <v>13.281000000000001</v>
      </c>
      <c r="AK6" s="12">
        <v>13.006</v>
      </c>
      <c r="AL6" s="12">
        <v>14.866</v>
      </c>
      <c r="AM6" s="12">
        <v>3.1469999999999998</v>
      </c>
      <c r="AN6" s="12">
        <v>1.9970000000000001</v>
      </c>
      <c r="AO6" s="33">
        <v>2.2669999999999999</v>
      </c>
      <c r="AP6" s="33"/>
      <c r="AQ6" s="33"/>
      <c r="AR6" s="33"/>
      <c r="AS6" s="33">
        <v>7.085</v>
      </c>
      <c r="AT6" s="33">
        <v>6.9539999999999997</v>
      </c>
      <c r="AU6" s="33"/>
      <c r="AV6" s="33"/>
      <c r="AW6" s="33">
        <v>8.6519999999999992</v>
      </c>
      <c r="AX6" s="33">
        <v>6.2789999999999999</v>
      </c>
      <c r="AY6" s="33">
        <v>7.7220000000000004</v>
      </c>
      <c r="AZ6" s="33"/>
      <c r="BA6" s="33"/>
      <c r="BB6" s="33"/>
      <c r="BC6" s="33">
        <v>7.2160000000000002</v>
      </c>
      <c r="BD6" s="33"/>
      <c r="BE6" s="33">
        <v>2.2610000000000001</v>
      </c>
      <c r="BF6" s="33">
        <v>2.27</v>
      </c>
      <c r="BG6" s="33">
        <v>1.61</v>
      </c>
      <c r="BH6" s="33"/>
      <c r="BI6" s="33">
        <v>2.246</v>
      </c>
      <c r="BJ6" s="33"/>
      <c r="BK6" s="33">
        <v>2.2799999999999998</v>
      </c>
      <c r="BL6" s="33">
        <v>1.528</v>
      </c>
      <c r="BM6" s="33"/>
      <c r="BN6" s="33"/>
      <c r="BO6" s="33"/>
      <c r="BP6" s="33"/>
      <c r="BQ6" s="33"/>
      <c r="BR6" s="33"/>
      <c r="BS6" s="33"/>
      <c r="BT6" s="33"/>
    </row>
    <row r="7" spans="1:72" ht="12" customHeight="1" thickBot="1" x14ac:dyDescent="0.3">
      <c r="A7" s="31"/>
      <c r="B7" s="32" t="s">
        <v>30</v>
      </c>
      <c r="C7" s="33"/>
      <c r="D7" s="33"/>
      <c r="E7" s="29" t="str">
        <f t="shared" si="0"/>
        <v/>
      </c>
      <c r="F7" s="36" t="str">
        <f t="shared" si="1"/>
        <v>—</v>
      </c>
      <c r="G7" s="33">
        <v>0</v>
      </c>
      <c r="I7" s="18">
        <f t="shared" si="3"/>
        <v>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3.133</v>
      </c>
      <c r="AJ7" s="12"/>
      <c r="AK7" s="12">
        <v>3.1629999999999998</v>
      </c>
      <c r="AL7" s="12"/>
      <c r="AM7" s="12"/>
      <c r="AN7" s="12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</row>
    <row r="8" spans="1:72" ht="12" customHeight="1" thickBot="1" x14ac:dyDescent="0.3">
      <c r="A8" s="31"/>
      <c r="B8" s="32" t="s">
        <v>28</v>
      </c>
      <c r="C8" s="33">
        <v>6.8449999999999998</v>
      </c>
      <c r="D8" s="33"/>
      <c r="E8" s="29" t="str">
        <f t="shared" si="0"/>
        <v/>
      </c>
      <c r="F8" s="36" t="str">
        <f t="shared" si="1"/>
        <v>—</v>
      </c>
      <c r="G8" s="33">
        <v>9.1169999999999991</v>
      </c>
      <c r="I8" s="18">
        <f t="shared" si="3"/>
        <v>9.1169999999999991</v>
      </c>
      <c r="K8" s="33">
        <v>2.2719999999999998</v>
      </c>
      <c r="L8" s="33"/>
      <c r="M8" s="33"/>
      <c r="N8" s="33">
        <v>6.8449999999999998</v>
      </c>
      <c r="O8" s="33"/>
      <c r="P8" s="33"/>
      <c r="Q8" s="33"/>
      <c r="R8" s="33"/>
      <c r="S8" s="33"/>
      <c r="T8" s="33"/>
      <c r="U8" s="33"/>
      <c r="V8" s="33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>
        <v>2.298</v>
      </c>
      <c r="BS8" s="33"/>
      <c r="BT8" s="33"/>
    </row>
    <row r="9" spans="1:72" ht="15.75" thickBot="1" x14ac:dyDescent="0.3">
      <c r="E9" s="17"/>
    </row>
    <row r="10" spans="1:72" ht="12" customHeight="1" thickBot="1" x14ac:dyDescent="0.3">
      <c r="A10" s="31"/>
      <c r="B10" s="32" t="s">
        <v>25</v>
      </c>
      <c r="C10" s="33"/>
      <c r="D10" s="33"/>
      <c r="E10" s="29" t="str">
        <f t="shared" ref="E10" si="4">IF(OR(F10="=",F10="≈",F10="—"),"",IF(F10&gt;0,"",IF(F10&lt;0,"","")))</f>
        <v/>
      </c>
      <c r="F10" s="36" t="str">
        <f t="shared" ref="F10" si="5">IFERROR(IF(C10/D10-1=0,"=",IF(C10/D10-1=-1,"—",IF(OR(AND(C10/D10-1&lt;0.005,C10/D10-1&gt;0), AND(C10/D10-1&lt;0,C10/D10-1&gt;-0.005)),"≈",C10/D10-1))),"—")</f>
        <v>—</v>
      </c>
      <c r="G10" s="33">
        <v>0</v>
      </c>
      <c r="I10" s="18">
        <f t="shared" ref="I10" si="6">SUM(K10:W10)</f>
        <v>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>
        <v>5.3010000000000002</v>
      </c>
      <c r="AL10" s="12">
        <v>4.6449999999999996</v>
      </c>
      <c r="AM10" s="12">
        <v>4.6849999999999996</v>
      </c>
      <c r="AN10" s="12">
        <v>2.327</v>
      </c>
      <c r="AO10" s="33"/>
      <c r="AP10" s="33"/>
      <c r="AQ10" s="33"/>
      <c r="AR10" s="33">
        <v>3.1930000000000001</v>
      </c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</row>
  </sheetData>
  <mergeCells count="1">
    <mergeCell ref="E1:F1"/>
  </mergeCells>
  <conditionalFormatting sqref="E3:E8">
    <cfRule type="containsText" dxfId="37" priority="3" operator="containsText" text="">
      <formula>NOT(ISERROR(SEARCH("",E3)))</formula>
    </cfRule>
    <cfRule type="containsText" dxfId="36" priority="4" operator="containsText" text="">
      <formula>NOT(ISERROR(SEARCH("",E3)))</formula>
    </cfRule>
  </conditionalFormatting>
  <conditionalFormatting sqref="E10">
    <cfRule type="containsText" dxfId="35" priority="1" operator="containsText" text="">
      <formula>NOT(ISERROR(SEARCH("",E10)))</formula>
    </cfRule>
    <cfRule type="containsText" dxfId="34" priority="2" operator="containsText" text="">
      <formula>NOT(ISERROR(SEARCH("",E10)))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13"/>
  <sheetViews>
    <sheetView zoomScale="90" zoomScaleNormal="90" workbookViewId="0">
      <selection activeCell="C1" sqref="C1:G1"/>
    </sheetView>
  </sheetViews>
  <sheetFormatPr defaultRowHeight="15" x14ac:dyDescent="0.25"/>
  <cols>
    <col min="2" max="2" width="10.42578125" customWidth="1"/>
    <col min="3" max="4" width="10.85546875" customWidth="1"/>
    <col min="11" max="13" width="10.85546875" customWidth="1"/>
    <col min="15" max="22" width="10.85546875" customWidth="1"/>
    <col min="29" max="29" width="10.85546875" customWidth="1"/>
    <col min="32" max="32" width="10.85546875" customWidth="1"/>
    <col min="34" max="42" width="10.85546875" customWidth="1"/>
    <col min="45" max="50" width="10.8554687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52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60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70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thickBot="1" x14ac:dyDescent="0.3">
      <c r="A2" s="41" t="s">
        <v>3</v>
      </c>
      <c r="B2" s="41"/>
      <c r="C2" s="41"/>
      <c r="D2" s="41"/>
      <c r="E2" s="42"/>
      <c r="F2" s="42"/>
      <c r="G2" s="42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</row>
    <row r="3" spans="1:71" ht="12" customHeight="1" thickBot="1" x14ac:dyDescent="0.3">
      <c r="A3" s="26" t="s">
        <v>21</v>
      </c>
      <c r="B3" s="27"/>
      <c r="C3" s="28">
        <v>0</v>
      </c>
      <c r="D3" s="28">
        <v>0</v>
      </c>
      <c r="E3" s="29" t="str">
        <f t="shared" ref="E3:E12" si="0">IF(OR(F3="=",F3="≈",F3="—"),"",IF(F3&gt;0,"",IF(F3&lt;0,"","")))</f>
        <v/>
      </c>
      <c r="F3" s="39" t="str">
        <f t="shared" ref="F3:F12" si="1">IFERROR(IF(C3/D3-1=0,"=",IF(C3/D3-1=-1,"—",IF(OR(AND(C3/D3-1&lt;0.005,C3/D3-1&gt;0), AND(C3/D3-1&lt;0,C3/D3-1&gt;-0.005)),"≈",C3/D3-1))),"—")</f>
        <v>—</v>
      </c>
      <c r="G3" s="24">
        <v>11.48</v>
      </c>
      <c r="H3" s="3"/>
      <c r="I3" s="3">
        <f>SUM(K3:V3)</f>
        <v>11.48</v>
      </c>
      <c r="J3" s="10"/>
      <c r="K3" s="28">
        <v>9.24</v>
      </c>
      <c r="L3" s="28">
        <v>2.2400000000000002</v>
      </c>
      <c r="M3" s="28">
        <v>0</v>
      </c>
      <c r="N3" s="28"/>
      <c r="O3" s="28"/>
      <c r="P3" s="28"/>
      <c r="Q3" s="28"/>
      <c r="R3" s="28"/>
      <c r="S3" s="28"/>
      <c r="T3" s="28"/>
      <c r="U3" s="28"/>
      <c r="V3" s="28"/>
      <c r="X3" s="11">
        <f t="shared" ref="X3:AG3" si="2">SUM(X4:X12)</f>
        <v>7.0389999999999997</v>
      </c>
      <c r="Y3" s="11">
        <f t="shared" si="2"/>
        <v>11.733000000000001</v>
      </c>
      <c r="Z3" s="11">
        <f t="shared" si="2"/>
        <v>18.674999999999997</v>
      </c>
      <c r="AA3" s="11">
        <f t="shared" si="2"/>
        <v>13.277000000000001</v>
      </c>
      <c r="AB3" s="11">
        <f t="shared" si="2"/>
        <v>18.812999999999999</v>
      </c>
      <c r="AC3" s="11">
        <f t="shared" si="2"/>
        <v>23.088999999999999</v>
      </c>
      <c r="AD3" s="11">
        <f t="shared" si="2"/>
        <v>2.323</v>
      </c>
      <c r="AE3" s="11">
        <f t="shared" si="2"/>
        <v>9.2750000000000004</v>
      </c>
      <c r="AF3" s="11">
        <f t="shared" si="2"/>
        <v>7.011000000000001</v>
      </c>
      <c r="AG3" s="11">
        <f t="shared" si="2"/>
        <v>4.7050000000000001</v>
      </c>
      <c r="AH3" s="11">
        <f>SUM(AH4:AH12)</f>
        <v>6.9750149999999991</v>
      </c>
      <c r="AI3" s="11">
        <f>SUM(AI4:AI12)</f>
        <v>8.6219999999999999</v>
      </c>
      <c r="AJ3" s="11">
        <f>SUM(AJ4:AJ12)</f>
        <v>4.6899999999999995</v>
      </c>
      <c r="AK3" s="11">
        <f>SUM(AK4:AK12)</f>
        <v>6.9439999999999991</v>
      </c>
      <c r="AL3" s="11">
        <f>SUM(AL4:AL12)</f>
        <v>11.641999999999999</v>
      </c>
      <c r="AM3" s="11">
        <v>7.03</v>
      </c>
      <c r="AN3" s="28">
        <v>20.623000000000001</v>
      </c>
      <c r="AO3" s="28">
        <v>20.83</v>
      </c>
      <c r="AP3" s="28">
        <v>6.952</v>
      </c>
      <c r="AQ3" s="28">
        <v>11.571</v>
      </c>
      <c r="AR3" s="28">
        <v>4.6870000000000003</v>
      </c>
      <c r="AS3" s="28">
        <v>4.6349999999999998</v>
      </c>
      <c r="AT3" s="28">
        <v>5.0490000000000004</v>
      </c>
      <c r="AU3" s="28">
        <v>7.12</v>
      </c>
      <c r="AV3" s="28">
        <v>2.3490000000000002</v>
      </c>
      <c r="AW3" s="28">
        <v>4.6900000000000004</v>
      </c>
      <c r="AX3" s="28">
        <v>4.7</v>
      </c>
      <c r="AY3" s="28">
        <v>4.6900000000000004</v>
      </c>
      <c r="AZ3" s="28">
        <v>2.3570000000000002</v>
      </c>
      <c r="BA3" s="28">
        <v>2.3570000000000002</v>
      </c>
      <c r="BB3" s="28">
        <v>6.5190000000000001</v>
      </c>
      <c r="BC3" s="28">
        <v>6.9989999999999997</v>
      </c>
      <c r="BD3" s="28">
        <v>2.2610000000000001</v>
      </c>
      <c r="BE3" s="28">
        <v>13.878</v>
      </c>
      <c r="BF3" s="28">
        <v>6.9480000000000004</v>
      </c>
      <c r="BG3" s="28">
        <v>6.93</v>
      </c>
      <c r="BH3" s="28">
        <v>2.3439999999999999</v>
      </c>
      <c r="BI3" s="28">
        <v>4.53</v>
      </c>
      <c r="BJ3" s="28">
        <v>9.3689999999999998</v>
      </c>
      <c r="BK3" s="28">
        <v>8.56</v>
      </c>
      <c r="BL3" s="28">
        <v>4.8449999999999998</v>
      </c>
      <c r="BM3" s="28">
        <v>9.3800000000000008</v>
      </c>
      <c r="BN3" s="28">
        <v>12.49</v>
      </c>
      <c r="BO3" s="28"/>
      <c r="BP3" s="28">
        <v>11.66</v>
      </c>
      <c r="BQ3" s="28">
        <v>11.46</v>
      </c>
      <c r="BR3" s="28">
        <v>2.2480000000000002</v>
      </c>
      <c r="BS3" s="28">
        <v>9.18</v>
      </c>
    </row>
    <row r="4" spans="1:71" s="21" customFormat="1" ht="12" customHeight="1" thickBot="1" x14ac:dyDescent="0.3">
      <c r="A4" s="31"/>
      <c r="B4" s="32" t="s">
        <v>25</v>
      </c>
      <c r="C4" s="33"/>
      <c r="D4" s="33"/>
      <c r="E4" s="29" t="str">
        <f t="shared" si="0"/>
        <v/>
      </c>
      <c r="F4" s="40" t="str">
        <f t="shared" si="1"/>
        <v>—</v>
      </c>
      <c r="G4" s="25">
        <v>0</v>
      </c>
      <c r="H4" s="19"/>
      <c r="I4" s="3">
        <f t="shared" ref="I4:I13" si="3">SUM(K4:V4)</f>
        <v>0</v>
      </c>
      <c r="J4" s="20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X4" s="12">
        <v>4.6890000000000001</v>
      </c>
      <c r="Y4" s="12">
        <v>2.3540000000000001</v>
      </c>
      <c r="Z4" s="12"/>
      <c r="AA4" s="12">
        <v>4.7190000000000003</v>
      </c>
      <c r="AB4" s="12">
        <v>6.9859999999999998</v>
      </c>
      <c r="AC4" s="12">
        <v>4.6849999999999996</v>
      </c>
      <c r="AD4" s="12">
        <v>2.323</v>
      </c>
      <c r="AE4" s="12">
        <v>2.3769999999999998</v>
      </c>
      <c r="AF4" s="12">
        <v>4.6820000000000004</v>
      </c>
      <c r="AG4" s="12"/>
      <c r="AH4" s="12"/>
      <c r="AI4" s="12">
        <v>1.6120000000000001</v>
      </c>
      <c r="AJ4" s="12">
        <v>2.3460000000000001</v>
      </c>
      <c r="AK4" s="12">
        <v>2.2839999999999998</v>
      </c>
      <c r="AL4" s="12"/>
      <c r="AM4" s="12">
        <v>2.335</v>
      </c>
      <c r="AN4" s="33">
        <v>4.6619999999999999</v>
      </c>
      <c r="AO4" s="33">
        <v>2.3380000000000001</v>
      </c>
      <c r="AP4" s="33"/>
      <c r="AQ4" s="33">
        <v>2.278</v>
      </c>
      <c r="AR4" s="33">
        <v>2.3479999999999999</v>
      </c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>
        <v>2.36</v>
      </c>
      <c r="BF4" s="33"/>
      <c r="BG4" s="33">
        <v>2.2909999999999999</v>
      </c>
      <c r="BH4" s="33"/>
      <c r="BI4" s="33">
        <v>2.2799999999999998</v>
      </c>
      <c r="BJ4" s="33"/>
      <c r="BK4" s="33"/>
      <c r="BL4" s="33"/>
      <c r="BM4" s="33"/>
      <c r="BN4" s="33"/>
      <c r="BO4" s="33"/>
      <c r="BP4" s="33">
        <v>2.347</v>
      </c>
      <c r="BQ4" s="33"/>
      <c r="BR4" s="33"/>
      <c r="BS4" s="33"/>
    </row>
    <row r="5" spans="1:71" s="21" customFormat="1" ht="12" customHeight="1" thickBot="1" x14ac:dyDescent="0.3">
      <c r="A5" s="31"/>
      <c r="B5" s="32" t="s">
        <v>28</v>
      </c>
      <c r="C5" s="33"/>
      <c r="D5" s="33"/>
      <c r="E5" s="29" t="str">
        <f t="shared" si="0"/>
        <v/>
      </c>
      <c r="F5" s="40" t="str">
        <f t="shared" si="1"/>
        <v>—</v>
      </c>
      <c r="G5" s="25">
        <v>2.2400000000000002</v>
      </c>
      <c r="H5" s="19"/>
      <c r="I5" s="3">
        <f t="shared" si="3"/>
        <v>2.2400000000000002</v>
      </c>
      <c r="J5" s="20"/>
      <c r="K5" s="33">
        <v>2.2400000000000002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X5" s="12">
        <v>2.35</v>
      </c>
      <c r="Y5" s="12">
        <v>2.3559999999999999</v>
      </c>
      <c r="Z5" s="12"/>
      <c r="AA5" s="12"/>
      <c r="AB5" s="12"/>
      <c r="AC5" s="12">
        <v>9.1859999999999999</v>
      </c>
      <c r="AD5" s="12"/>
      <c r="AE5" s="12">
        <v>2.2530000000000001</v>
      </c>
      <c r="AF5" s="12"/>
      <c r="AG5" s="12">
        <v>4.7050000000000001</v>
      </c>
      <c r="AH5" s="12"/>
      <c r="AI5" s="12"/>
      <c r="AJ5" s="12"/>
      <c r="AK5" s="12"/>
      <c r="AL5" s="12"/>
      <c r="AM5" s="12"/>
      <c r="AN5" s="33"/>
      <c r="AO5" s="33">
        <v>2.31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>
        <v>2.3159999999999998</v>
      </c>
      <c r="BL5" s="33"/>
      <c r="BM5" s="33"/>
      <c r="BN5" s="33"/>
      <c r="BO5" s="33"/>
      <c r="BP5" s="33"/>
      <c r="BQ5" s="33">
        <v>2.2589999999999999</v>
      </c>
      <c r="BR5" s="33">
        <v>2.2480000000000002</v>
      </c>
      <c r="BS5" s="33">
        <v>6.9409999999999998</v>
      </c>
    </row>
    <row r="6" spans="1:71" s="21" customFormat="1" ht="12" customHeight="1" thickBot="1" x14ac:dyDescent="0.3">
      <c r="A6" s="31"/>
      <c r="B6" s="32" t="s">
        <v>8</v>
      </c>
      <c r="C6" s="33"/>
      <c r="D6" s="33"/>
      <c r="E6" s="29" t="str">
        <f t="shared" si="0"/>
        <v/>
      </c>
      <c r="F6" s="40" t="str">
        <f t="shared" si="1"/>
        <v>—</v>
      </c>
      <c r="G6" s="25">
        <v>2.2400000000000002</v>
      </c>
      <c r="H6" s="19"/>
      <c r="I6" s="3">
        <f t="shared" si="3"/>
        <v>2.2400000000000002</v>
      </c>
      <c r="J6" s="20"/>
      <c r="K6" s="33"/>
      <c r="L6" s="33">
        <v>2.2400000000000002</v>
      </c>
      <c r="M6" s="33"/>
      <c r="N6" s="33"/>
      <c r="O6" s="33"/>
      <c r="P6" s="33"/>
      <c r="Q6" s="33"/>
      <c r="R6" s="33"/>
      <c r="S6" s="33"/>
      <c r="T6" s="33"/>
      <c r="U6" s="33"/>
      <c r="V6" s="33"/>
      <c r="X6" s="13"/>
      <c r="Y6" s="13"/>
      <c r="Z6" s="13"/>
      <c r="AA6" s="13"/>
      <c r="AB6" s="13">
        <v>2.3559999999999999</v>
      </c>
      <c r="AC6" s="13">
        <v>4.5880000000000001</v>
      </c>
      <c r="AD6" s="13"/>
      <c r="AE6" s="13"/>
      <c r="AF6" s="13">
        <v>2.3290000000000002</v>
      </c>
      <c r="AG6" s="13"/>
      <c r="AH6" s="13"/>
      <c r="AI6" s="13"/>
      <c r="AJ6" s="13"/>
      <c r="AK6" s="13">
        <v>2.31</v>
      </c>
      <c r="AL6" s="13">
        <v>2.2789999999999999</v>
      </c>
      <c r="AM6" s="13"/>
      <c r="AN6" s="33"/>
      <c r="AO6" s="33">
        <v>2.238</v>
      </c>
      <c r="AP6" s="33">
        <v>4.6879999999999997</v>
      </c>
      <c r="AQ6" s="33"/>
      <c r="AR6" s="33"/>
      <c r="AS6" s="33"/>
      <c r="AT6" s="33">
        <v>2.7040000000000002</v>
      </c>
      <c r="AU6" s="33"/>
      <c r="AV6" s="33"/>
      <c r="AW6" s="33"/>
      <c r="AX6" s="33"/>
      <c r="AY6" s="33"/>
      <c r="AZ6" s="33">
        <v>2.3570000000000002</v>
      </c>
      <c r="BA6" s="33">
        <v>2.3570000000000002</v>
      </c>
      <c r="BB6" s="33"/>
      <c r="BC6" s="33"/>
      <c r="BD6" s="33"/>
      <c r="BE6" s="33">
        <v>2.3370000000000002</v>
      </c>
      <c r="BF6" s="33"/>
      <c r="BG6" s="33"/>
      <c r="BH6" s="33"/>
      <c r="BI6" s="33"/>
      <c r="BJ6" s="33"/>
      <c r="BK6" s="33"/>
      <c r="BL6" s="33">
        <v>2.5</v>
      </c>
      <c r="BM6" s="33">
        <v>4.6669999999999998</v>
      </c>
      <c r="BN6" s="33">
        <v>7.7880000000000003</v>
      </c>
      <c r="BO6" s="33"/>
      <c r="BP6" s="33"/>
      <c r="BQ6" s="33"/>
      <c r="BR6" s="33"/>
      <c r="BS6" s="33"/>
    </row>
    <row r="7" spans="1:71" s="21" customFormat="1" ht="12" customHeight="1" thickBot="1" x14ac:dyDescent="0.3">
      <c r="A7" s="31"/>
      <c r="B7" s="32" t="s">
        <v>6</v>
      </c>
      <c r="C7" s="33"/>
      <c r="D7" s="33"/>
      <c r="E7" s="29" t="str">
        <f t="shared" si="0"/>
        <v/>
      </c>
      <c r="F7" s="40" t="str">
        <f t="shared" si="1"/>
        <v>—</v>
      </c>
      <c r="G7" s="25">
        <v>0</v>
      </c>
      <c r="H7" s="19"/>
      <c r="I7" s="3">
        <f t="shared" si="3"/>
        <v>0</v>
      </c>
      <c r="J7" s="20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X7" s="13"/>
      <c r="Y7" s="13"/>
      <c r="Z7" s="13"/>
      <c r="AA7" s="13"/>
      <c r="AB7" s="13">
        <v>7.1449999999999996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s="21" customFormat="1" ht="12" customHeight="1" thickBot="1" x14ac:dyDescent="0.3">
      <c r="A8" s="31"/>
      <c r="B8" s="32" t="s">
        <v>7</v>
      </c>
      <c r="C8" s="33"/>
      <c r="D8" s="33"/>
      <c r="E8" s="29" t="str">
        <f t="shared" si="0"/>
        <v/>
      </c>
      <c r="F8" s="40" t="str">
        <f t="shared" si="1"/>
        <v>—</v>
      </c>
      <c r="G8" s="25">
        <v>0</v>
      </c>
      <c r="H8" s="19"/>
      <c r="I8" s="3">
        <f t="shared" si="3"/>
        <v>0</v>
      </c>
      <c r="J8" s="20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X8" s="13"/>
      <c r="Y8" s="13"/>
      <c r="Z8" s="13">
        <v>2.355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s="21" customFormat="1" ht="12" customHeight="1" thickBot="1" x14ac:dyDescent="0.3">
      <c r="A9" s="31"/>
      <c r="B9" s="32" t="s">
        <v>19</v>
      </c>
      <c r="C9" s="33"/>
      <c r="D9" s="33"/>
      <c r="E9" s="29" t="str">
        <f t="shared" si="0"/>
        <v/>
      </c>
      <c r="F9" s="40" t="str">
        <f t="shared" si="1"/>
        <v>—</v>
      </c>
      <c r="G9" s="25">
        <v>0</v>
      </c>
      <c r="H9" s="19"/>
      <c r="I9" s="3">
        <f t="shared" si="3"/>
        <v>0</v>
      </c>
      <c r="J9" s="20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X9" s="13"/>
      <c r="Y9" s="13">
        <v>4.6950000000000003</v>
      </c>
      <c r="Z9" s="13">
        <v>2.3839999999999999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 s="21" customFormat="1" ht="12" customHeight="1" thickBot="1" x14ac:dyDescent="0.3">
      <c r="A10" s="31"/>
      <c r="B10" s="32" t="s">
        <v>17</v>
      </c>
      <c r="C10" s="33"/>
      <c r="D10" s="33"/>
      <c r="E10" s="29" t="str">
        <f t="shared" si="0"/>
        <v/>
      </c>
      <c r="F10" s="40" t="str">
        <f t="shared" si="1"/>
        <v>—</v>
      </c>
      <c r="G10" s="25">
        <v>2.2410000000000001</v>
      </c>
      <c r="H10" s="19"/>
      <c r="I10" s="3">
        <f t="shared" si="3"/>
        <v>2.2410000000000001</v>
      </c>
      <c r="J10" s="20"/>
      <c r="K10" s="33">
        <v>2.2410000000000001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X10" s="13"/>
      <c r="Y10" s="13">
        <v>2.3279999999999998</v>
      </c>
      <c r="Z10" s="13">
        <v>4.6589999999999998</v>
      </c>
      <c r="AA10" s="13">
        <v>1.607</v>
      </c>
      <c r="AB10" s="13"/>
      <c r="AC10" s="13">
        <v>4.63</v>
      </c>
      <c r="AD10" s="13"/>
      <c r="AE10" s="13">
        <v>2.2949999999999999</v>
      </c>
      <c r="AF10" s="13"/>
      <c r="AG10" s="13"/>
      <c r="AH10" s="13"/>
      <c r="AI10" s="13"/>
      <c r="AJ10" s="13"/>
      <c r="AK10" s="13"/>
      <c r="AL10" s="13">
        <v>4.6959999999999997</v>
      </c>
      <c r="AM10" s="13">
        <v>2.3450000000000002</v>
      </c>
      <c r="AN10" s="33">
        <v>8.9870000000000001</v>
      </c>
      <c r="AO10" s="33">
        <v>4.6790000000000003</v>
      </c>
      <c r="AP10" s="33"/>
      <c r="AQ10" s="33">
        <v>4.6879999999999997</v>
      </c>
      <c r="AR10" s="33">
        <v>2.339</v>
      </c>
      <c r="AS10" s="33">
        <v>2.34</v>
      </c>
      <c r="AT10" s="33">
        <v>2.3450000000000002</v>
      </c>
      <c r="AU10" s="33">
        <v>4.6840000000000002</v>
      </c>
      <c r="AV10" s="33"/>
      <c r="AW10" s="33">
        <v>2.3439999999999999</v>
      </c>
      <c r="AX10" s="33"/>
      <c r="AY10" s="33">
        <v>2.35</v>
      </c>
      <c r="AZ10" s="33"/>
      <c r="BA10" s="33"/>
      <c r="BB10" s="33"/>
      <c r="BC10" s="33"/>
      <c r="BD10" s="33">
        <v>2.2610000000000001</v>
      </c>
      <c r="BE10" s="33">
        <v>2.3490000000000002</v>
      </c>
      <c r="BF10" s="33"/>
      <c r="BG10" s="33"/>
      <c r="BH10" s="33"/>
      <c r="BI10" s="33"/>
      <c r="BJ10" s="33"/>
      <c r="BK10" s="33">
        <v>1.599</v>
      </c>
      <c r="BL10" s="33"/>
      <c r="BM10" s="33"/>
      <c r="BN10" s="33">
        <v>2.3460000000000001</v>
      </c>
      <c r="BO10" s="33"/>
      <c r="BP10" s="33">
        <v>2.3479999999999999</v>
      </c>
      <c r="BQ10" s="33"/>
      <c r="BR10" s="33"/>
      <c r="BS10" s="33"/>
    </row>
    <row r="11" spans="1:71" s="21" customFormat="1" ht="12" customHeight="1" thickBot="1" x14ac:dyDescent="0.3">
      <c r="A11" s="31"/>
      <c r="B11" s="32" t="s">
        <v>26</v>
      </c>
      <c r="C11" s="33"/>
      <c r="D11" s="33"/>
      <c r="E11" s="29" t="str">
        <f t="shared" si="0"/>
        <v/>
      </c>
      <c r="F11" s="40" t="str">
        <f t="shared" si="1"/>
        <v>—</v>
      </c>
      <c r="G11" s="25">
        <v>4.7560000000000002</v>
      </c>
      <c r="H11" s="19"/>
      <c r="I11" s="3">
        <f t="shared" si="3"/>
        <v>4.7560000000000002</v>
      </c>
      <c r="J11" s="20"/>
      <c r="K11" s="33">
        <v>4.7560000000000002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X11" s="12"/>
      <c r="Y11" s="12"/>
      <c r="Z11" s="12">
        <v>9.2769999999999992</v>
      </c>
      <c r="AA11" s="12">
        <v>6.9509999999999996</v>
      </c>
      <c r="AB11" s="12">
        <v>2.3260000000000001</v>
      </c>
      <c r="AC11" s="12"/>
      <c r="AD11" s="12"/>
      <c r="AE11" s="12">
        <v>2.35</v>
      </c>
      <c r="AF11" s="12"/>
      <c r="AG11" s="12"/>
      <c r="AH11" s="12">
        <v>4.7135309999999997</v>
      </c>
      <c r="AI11" s="12">
        <v>7.01</v>
      </c>
      <c r="AJ11" s="12">
        <v>2.3439999999999999</v>
      </c>
      <c r="AK11" s="12">
        <v>2.35</v>
      </c>
      <c r="AL11" s="12">
        <v>4.6669999999999998</v>
      </c>
      <c r="AM11" s="12">
        <v>2.3530000000000002</v>
      </c>
      <c r="AN11" s="33">
        <v>4.649</v>
      </c>
      <c r="AO11" s="33">
        <v>6.9379999999999997</v>
      </c>
      <c r="AP11" s="33">
        <v>2.2639999999999998</v>
      </c>
      <c r="AQ11" s="33">
        <v>4.6050000000000004</v>
      </c>
      <c r="AR11" s="33"/>
      <c r="AS11" s="33">
        <v>2.2949999999999999</v>
      </c>
      <c r="AT11" s="33"/>
      <c r="AU11" s="33"/>
      <c r="AV11" s="33">
        <v>2.3490000000000002</v>
      </c>
      <c r="AW11" s="33">
        <v>2.3450000000000002</v>
      </c>
      <c r="AX11" s="33">
        <v>4.7</v>
      </c>
      <c r="AY11" s="33">
        <v>2.34</v>
      </c>
      <c r="AZ11" s="33"/>
      <c r="BA11" s="33"/>
      <c r="BB11" s="33">
        <v>6.5190000000000001</v>
      </c>
      <c r="BC11" s="33">
        <v>6.9989999999999997</v>
      </c>
      <c r="BD11" s="33"/>
      <c r="BE11" s="33">
        <v>6.83</v>
      </c>
      <c r="BF11" s="33">
        <v>6.9480000000000004</v>
      </c>
      <c r="BG11" s="33">
        <v>4.6369999999999996</v>
      </c>
      <c r="BH11" s="33">
        <v>2.3439999999999999</v>
      </c>
      <c r="BI11" s="33">
        <v>2.25</v>
      </c>
      <c r="BJ11" s="33">
        <v>9.3689999999999998</v>
      </c>
      <c r="BK11" s="33">
        <v>4.6479999999999997</v>
      </c>
      <c r="BL11" s="33">
        <v>2.3450000000000002</v>
      </c>
      <c r="BM11" s="33">
        <v>4.7080000000000002</v>
      </c>
      <c r="BN11" s="33">
        <v>2.351</v>
      </c>
      <c r="BO11" s="33"/>
      <c r="BP11" s="33">
        <v>6.9630000000000001</v>
      </c>
      <c r="BQ11" s="33">
        <v>9.1989999999999998</v>
      </c>
      <c r="BR11" s="33"/>
      <c r="BS11" s="33">
        <v>2.2360000000000002</v>
      </c>
    </row>
    <row r="12" spans="1:71" ht="12" customHeight="1" thickBot="1" x14ac:dyDescent="0.3">
      <c r="A12" s="31"/>
      <c r="B12" s="32" t="s">
        <v>9</v>
      </c>
      <c r="C12" s="33"/>
      <c r="D12" s="33"/>
      <c r="E12" s="29" t="str">
        <f t="shared" si="0"/>
        <v/>
      </c>
      <c r="F12" s="40" t="str">
        <f t="shared" si="1"/>
        <v>—</v>
      </c>
      <c r="G12" s="25">
        <v>0</v>
      </c>
      <c r="H12" s="19"/>
      <c r="I12" s="3">
        <f t="shared" si="3"/>
        <v>0</v>
      </c>
      <c r="J12" s="20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>
        <v>2.2614839999999998</v>
      </c>
      <c r="AI12" s="12"/>
      <c r="AJ12" s="12"/>
      <c r="AK12" s="12"/>
      <c r="AL12" s="12"/>
      <c r="AM12" s="12"/>
      <c r="AN12" s="33">
        <v>2.323</v>
      </c>
      <c r="AO12" s="33"/>
      <c r="AP12" s="33"/>
      <c r="AQ12" s="33"/>
      <c r="AR12" s="33"/>
      <c r="AS12" s="33"/>
      <c r="AT12" s="33"/>
      <c r="AU12" s="33">
        <v>2.4390000000000001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 ht="15.75" thickBot="1" x14ac:dyDescent="0.3">
      <c r="A13" s="31"/>
      <c r="B13" s="32" t="s">
        <v>27</v>
      </c>
      <c r="C13" s="33"/>
      <c r="D13" s="33"/>
      <c r="E13" s="29" t="str">
        <f t="shared" ref="E13" si="4">IF(OR(F13="=",F13="≈",F13="—"),"",IF(F13&gt;0,"",IF(F13&lt;0,"","")))</f>
        <v/>
      </c>
      <c r="F13" s="40" t="str">
        <f t="shared" ref="F13" si="5">IFERROR(IF(C13/D13-1=0,"=",IF(C13/D13-1=-1,"—",IF(OR(AND(C13/D13-1&lt;0.005,C13/D13-1&gt;0), AND(C13/D13-1&lt;0,C13/D13-1&gt;-0.005)),"≈",C13/D13-1))),"—")</f>
        <v>—</v>
      </c>
      <c r="G13" s="25">
        <v>0</v>
      </c>
      <c r="H13" s="19"/>
      <c r="I13" s="3">
        <f t="shared" si="3"/>
        <v>0</v>
      </c>
      <c r="J13" s="20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33"/>
      <c r="AO13" s="33">
        <v>2.327</v>
      </c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</sheetData>
  <mergeCells count="1">
    <mergeCell ref="E1:F1"/>
  </mergeCells>
  <conditionalFormatting sqref="E3:E12">
    <cfRule type="containsText" dxfId="33" priority="11" operator="containsText" text="">
      <formula>NOT(ISERROR(SEARCH("",E3)))</formula>
    </cfRule>
    <cfRule type="containsText" dxfId="32" priority="12" operator="containsText" text="">
      <formula>NOT(ISERROR(SEARCH("",E3)))</formula>
    </cfRule>
  </conditionalFormatting>
  <conditionalFormatting sqref="E13">
    <cfRule type="containsText" dxfId="31" priority="1" operator="containsText" text="">
      <formula>NOT(ISERROR(SEARCH("",E13)))</formula>
    </cfRule>
    <cfRule type="containsText" dxfId="30" priority="2" operator="containsText" text="">
      <formula>NOT(ISERROR(SEARCH("",E13)))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20"/>
  <sheetViews>
    <sheetView zoomScale="90" zoomScaleNormal="90" workbookViewId="0">
      <selection activeCell="C1" sqref="C1:G1"/>
    </sheetView>
  </sheetViews>
  <sheetFormatPr defaultRowHeight="15" x14ac:dyDescent="0.25"/>
  <cols>
    <col min="2" max="2" width="15.8554687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52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60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thickBot="1" x14ac:dyDescent="0.3">
      <c r="A2" s="23" t="s">
        <v>3</v>
      </c>
      <c r="B2" s="23"/>
      <c r="C2" s="1"/>
      <c r="D2" s="1"/>
      <c r="E2" s="1"/>
      <c r="F2" s="1"/>
      <c r="G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ht="12" customHeight="1" thickBot="1" x14ac:dyDescent="0.3">
      <c r="A3" s="26" t="s">
        <v>8</v>
      </c>
      <c r="B3" s="45"/>
      <c r="C3" s="28">
        <v>106.39</v>
      </c>
      <c r="D3" s="28">
        <v>163.34</v>
      </c>
      <c r="E3" s="29" t="str">
        <f t="shared" ref="E3:E13" si="0">IF(OR(F3="=",F3="≈",F3="—"),"",IF(F3&gt;0,"",IF(F3&lt;0,"","")))</f>
        <v></v>
      </c>
      <c r="F3" s="30">
        <f t="shared" ref="F3:F13" si="1">IFERROR(IF(C3/D3-1=0,"=",IF(C3/D3-1=-1,"—",IF(OR(AND(C3/D3-1&lt;0.005,C3/D3-1&gt;0), AND(C3/D3-1&lt;0,C3/D3-1&gt;-0.005)),"≈",C3/D3-1))),"—")</f>
        <v>-0.34865923839843271</v>
      </c>
      <c r="G3" s="46">
        <v>615.87700000000007</v>
      </c>
      <c r="H3" s="3"/>
      <c r="I3" s="3">
        <f>SUM(K3:V3)</f>
        <v>615.87700000000007</v>
      </c>
      <c r="K3" s="28">
        <v>179.87700000000001</v>
      </c>
      <c r="L3" s="28">
        <v>166.27</v>
      </c>
      <c r="M3" s="28">
        <v>163.34</v>
      </c>
      <c r="N3" s="28">
        <v>106.39</v>
      </c>
      <c r="O3" s="28"/>
      <c r="P3" s="28"/>
      <c r="Q3" s="28"/>
      <c r="R3" s="28"/>
      <c r="S3" s="28"/>
      <c r="T3" s="28"/>
      <c r="U3" s="28"/>
      <c r="V3" s="28"/>
      <c r="X3" s="4">
        <f>SUM(X4:X14)</f>
        <v>197.36500000000001</v>
      </c>
      <c r="Y3" s="4">
        <f t="shared" ref="Y3:AE3" si="2">SUM(Y4:Y14)</f>
        <v>175.05899999999997</v>
      </c>
      <c r="Z3" s="4">
        <f t="shared" si="2"/>
        <v>211.32600000000002</v>
      </c>
      <c r="AA3" s="4">
        <f>SUM(AA4:AA14)</f>
        <v>54.566999999999993</v>
      </c>
      <c r="AB3" s="4">
        <f t="shared" si="2"/>
        <v>147.12700000000001</v>
      </c>
      <c r="AC3" s="4">
        <f t="shared" si="2"/>
        <v>215.577</v>
      </c>
      <c r="AD3" s="4">
        <f t="shared" si="2"/>
        <v>198.61800000000005</v>
      </c>
      <c r="AE3" s="4">
        <f t="shared" si="2"/>
        <v>176.79900000000001</v>
      </c>
      <c r="AF3" s="4">
        <f t="shared" ref="AF3:AG3" si="3">SUM(AF4:AF14)</f>
        <v>310.24900000000002</v>
      </c>
      <c r="AG3" s="4">
        <f t="shared" si="3"/>
        <v>161.375</v>
      </c>
      <c r="AH3" s="4">
        <f t="shared" ref="AH3:AI3" si="4">SUM(AH4:AH14)</f>
        <v>295.23099999999999</v>
      </c>
      <c r="AI3" s="4">
        <f t="shared" si="4"/>
        <v>193.93199999999996</v>
      </c>
      <c r="AJ3" s="4">
        <f t="shared" ref="AJ3:AK3" si="5">SUM(AJ4:AJ14)</f>
        <v>208.31700000000004</v>
      </c>
      <c r="AK3" s="4">
        <f t="shared" si="5"/>
        <v>277.60599999999999</v>
      </c>
      <c r="AL3" s="4">
        <f t="shared" ref="AL3" si="6">SUM(AL4:AL14)</f>
        <v>239.97200000000004</v>
      </c>
      <c r="AM3" s="4">
        <v>135.91999999999999</v>
      </c>
      <c r="AN3" s="28">
        <v>123.19</v>
      </c>
      <c r="AO3" s="28">
        <v>212.83</v>
      </c>
      <c r="AP3" s="28">
        <v>144.37</v>
      </c>
      <c r="AQ3" s="28">
        <v>231.83</v>
      </c>
      <c r="AR3" s="28">
        <v>231.53</v>
      </c>
      <c r="AS3" s="28">
        <v>192.11</v>
      </c>
      <c r="AT3" s="28">
        <v>192.32</v>
      </c>
      <c r="AU3" s="28">
        <v>189.63</v>
      </c>
      <c r="AV3" s="28">
        <v>168.62</v>
      </c>
      <c r="AW3" s="28">
        <v>143.59</v>
      </c>
      <c r="AX3" s="28">
        <v>175.3</v>
      </c>
      <c r="AY3" s="28">
        <v>150.54</v>
      </c>
      <c r="AZ3" s="28">
        <v>154.75</v>
      </c>
      <c r="BA3" s="28">
        <v>157.69999999999999</v>
      </c>
      <c r="BB3" s="28">
        <v>149.03</v>
      </c>
      <c r="BC3" s="28">
        <v>147.96</v>
      </c>
      <c r="BD3" s="28">
        <v>139.66999999999999</v>
      </c>
      <c r="BE3" s="28">
        <v>203.45</v>
      </c>
      <c r="BF3" s="28">
        <v>202.3</v>
      </c>
      <c r="BG3" s="28">
        <v>220.31</v>
      </c>
      <c r="BH3" s="28">
        <v>170.63</v>
      </c>
      <c r="BI3" s="28">
        <v>158.5</v>
      </c>
      <c r="BJ3" s="28">
        <v>141.19</v>
      </c>
      <c r="BK3" s="28">
        <v>144.88</v>
      </c>
      <c r="BL3" s="28">
        <v>198.12</v>
      </c>
      <c r="BM3" s="28">
        <v>237.93</v>
      </c>
      <c r="BN3" s="28">
        <v>208.75</v>
      </c>
      <c r="BO3" s="28">
        <v>217.34</v>
      </c>
      <c r="BP3" s="28">
        <v>208.69</v>
      </c>
      <c r="BQ3" s="28">
        <v>133.21</v>
      </c>
      <c r="BR3" s="28">
        <v>142.81</v>
      </c>
      <c r="BS3" s="28">
        <v>188.33</v>
      </c>
    </row>
    <row r="4" spans="1:71" ht="12" customHeight="1" thickBot="1" x14ac:dyDescent="0.3">
      <c r="A4" s="31"/>
      <c r="B4" s="32" t="s">
        <v>7</v>
      </c>
      <c r="C4" s="33">
        <v>88.676000000000002</v>
      </c>
      <c r="D4" s="33">
        <v>118.256</v>
      </c>
      <c r="E4" s="29" t="str">
        <f t="shared" si="0"/>
        <v></v>
      </c>
      <c r="F4" s="36">
        <f t="shared" si="1"/>
        <v>-0.25013529968881065</v>
      </c>
      <c r="G4" s="47">
        <v>446.15199999999999</v>
      </c>
      <c r="H4" s="3"/>
      <c r="I4" s="3">
        <f t="shared" ref="I4:I17" si="7">SUM(K4:V4)</f>
        <v>446.15199999999999</v>
      </c>
      <c r="K4" s="33">
        <v>122.711</v>
      </c>
      <c r="L4" s="33">
        <v>116.509</v>
      </c>
      <c r="M4" s="33">
        <v>118.256</v>
      </c>
      <c r="N4" s="33">
        <v>88.676000000000002</v>
      </c>
      <c r="O4" s="33"/>
      <c r="P4" s="33"/>
      <c r="Q4" s="33"/>
      <c r="R4" s="33"/>
      <c r="S4" s="33"/>
      <c r="T4" s="33"/>
      <c r="U4" s="33"/>
      <c r="V4" s="33"/>
      <c r="X4" s="7">
        <v>82.408000000000001</v>
      </c>
      <c r="Y4" s="7">
        <v>87.703999999999994</v>
      </c>
      <c r="Z4" s="7">
        <v>69.337999999999994</v>
      </c>
      <c r="AA4" s="7">
        <v>44.58</v>
      </c>
      <c r="AB4" s="7">
        <v>91.927999999999997</v>
      </c>
      <c r="AC4" s="7">
        <v>127.221</v>
      </c>
      <c r="AD4" s="7">
        <v>106.501</v>
      </c>
      <c r="AE4" s="7">
        <v>87.715999999999994</v>
      </c>
      <c r="AF4" s="7">
        <v>153.02000000000001</v>
      </c>
      <c r="AG4" s="7">
        <v>104.577</v>
      </c>
      <c r="AH4" s="7">
        <v>152.30799999999999</v>
      </c>
      <c r="AI4" s="7">
        <v>116.693</v>
      </c>
      <c r="AJ4" s="7">
        <v>146.68700000000001</v>
      </c>
      <c r="AK4" s="7">
        <v>118.794</v>
      </c>
      <c r="AL4" s="7">
        <v>133.16300000000001</v>
      </c>
      <c r="AM4" s="7">
        <v>96.212000000000003</v>
      </c>
      <c r="AN4" s="33">
        <v>83.757000000000005</v>
      </c>
      <c r="AO4" s="33">
        <v>105.779</v>
      </c>
      <c r="AP4" s="33">
        <v>102.494</v>
      </c>
      <c r="AQ4" s="33">
        <v>127.16</v>
      </c>
      <c r="AR4" s="33">
        <v>122.514</v>
      </c>
      <c r="AS4" s="33">
        <v>129.88399999999999</v>
      </c>
      <c r="AT4" s="33">
        <v>127.22</v>
      </c>
      <c r="AU4" s="33">
        <v>144.68</v>
      </c>
      <c r="AV4" s="33">
        <v>121.172</v>
      </c>
      <c r="AW4" s="33">
        <v>107.749</v>
      </c>
      <c r="AX4" s="33">
        <v>133.92099999999999</v>
      </c>
      <c r="AY4" s="33">
        <v>123.17</v>
      </c>
      <c r="AZ4" s="33">
        <v>115.34099999999999</v>
      </c>
      <c r="BA4" s="33">
        <v>100.91800000000001</v>
      </c>
      <c r="BB4" s="33">
        <v>119.18300000000001</v>
      </c>
      <c r="BC4" s="33">
        <v>119.877</v>
      </c>
      <c r="BD4" s="33">
        <v>81</v>
      </c>
      <c r="BE4" s="33">
        <v>154.447</v>
      </c>
      <c r="BF4" s="33">
        <v>153.48699999999999</v>
      </c>
      <c r="BG4" s="33">
        <v>158.49799999999999</v>
      </c>
      <c r="BH4" s="33">
        <v>110.511</v>
      </c>
      <c r="BI4" s="33">
        <v>109.685</v>
      </c>
      <c r="BJ4" s="33">
        <v>114.10299999999999</v>
      </c>
      <c r="BK4" s="33">
        <v>110.136</v>
      </c>
      <c r="BL4" s="33">
        <v>125.28100000000001</v>
      </c>
      <c r="BM4" s="33">
        <v>163.465</v>
      </c>
      <c r="BN4" s="33">
        <v>130.18899999999999</v>
      </c>
      <c r="BO4" s="33">
        <v>144.661</v>
      </c>
      <c r="BP4" s="33">
        <v>138.61799999999999</v>
      </c>
      <c r="BQ4" s="33">
        <v>106.85299999999999</v>
      </c>
      <c r="BR4" s="33">
        <v>118.102</v>
      </c>
      <c r="BS4" s="33">
        <v>123.086</v>
      </c>
    </row>
    <row r="5" spans="1:71" ht="12" customHeight="1" thickBot="1" x14ac:dyDescent="0.3">
      <c r="A5" s="31"/>
      <c r="B5" s="32" t="s">
        <v>22</v>
      </c>
      <c r="C5" s="33">
        <v>6.2880000000000003</v>
      </c>
      <c r="D5" s="33">
        <v>14.897</v>
      </c>
      <c r="E5" s="29" t="str">
        <f t="shared" si="0"/>
        <v></v>
      </c>
      <c r="F5" s="36">
        <f t="shared" si="1"/>
        <v>-0.57790159092434723</v>
      </c>
      <c r="G5" s="47">
        <v>58.653000000000006</v>
      </c>
      <c r="H5" s="3"/>
      <c r="I5" s="3">
        <f t="shared" si="7"/>
        <v>58.653000000000006</v>
      </c>
      <c r="K5" s="33">
        <v>20.420999999999999</v>
      </c>
      <c r="L5" s="33">
        <v>17.047000000000001</v>
      </c>
      <c r="M5" s="33">
        <v>14.897</v>
      </c>
      <c r="N5" s="33">
        <v>6.2880000000000003</v>
      </c>
      <c r="O5" s="33"/>
      <c r="P5" s="33"/>
      <c r="Q5" s="33"/>
      <c r="R5" s="33"/>
      <c r="S5" s="33"/>
      <c r="T5" s="33"/>
      <c r="U5" s="33"/>
      <c r="V5" s="33"/>
      <c r="X5" s="7">
        <v>62.116</v>
      </c>
      <c r="Y5" s="7">
        <v>37.570999999999998</v>
      </c>
      <c r="Z5" s="7">
        <v>27.504000000000001</v>
      </c>
      <c r="AA5" s="7">
        <v>9.7509999999999994</v>
      </c>
      <c r="AB5" s="7">
        <v>20.681999999999999</v>
      </c>
      <c r="AC5" s="7">
        <v>48.363</v>
      </c>
      <c r="AD5" s="7">
        <v>38.720999999999997</v>
      </c>
      <c r="AE5" s="7">
        <v>32.868000000000002</v>
      </c>
      <c r="AF5" s="7">
        <v>19.023</v>
      </c>
      <c r="AG5" s="7">
        <v>33.533000000000001</v>
      </c>
      <c r="AH5" s="7">
        <v>52.048000000000002</v>
      </c>
      <c r="AI5" s="7">
        <v>53.524000000000001</v>
      </c>
      <c r="AJ5" s="7">
        <v>31.512</v>
      </c>
      <c r="AK5" s="7">
        <v>46.03</v>
      </c>
      <c r="AL5" s="7">
        <v>71.894000000000005</v>
      </c>
      <c r="AM5" s="7">
        <v>30.989000000000001</v>
      </c>
      <c r="AN5" s="33">
        <v>23.952999999999999</v>
      </c>
      <c r="AO5" s="33">
        <v>36.465000000000003</v>
      </c>
      <c r="AP5" s="33">
        <v>27.513000000000002</v>
      </c>
      <c r="AQ5" s="33">
        <v>39.936999999999998</v>
      </c>
      <c r="AR5" s="33">
        <v>44.537999999999997</v>
      </c>
      <c r="AS5" s="33">
        <v>32.061</v>
      </c>
      <c r="AT5" s="33">
        <v>33.706000000000003</v>
      </c>
      <c r="AU5" s="33">
        <v>39.338999999999999</v>
      </c>
      <c r="AV5" s="33">
        <v>34.686</v>
      </c>
      <c r="AW5" s="33">
        <v>33.756</v>
      </c>
      <c r="AX5" s="33">
        <v>34.337000000000003</v>
      </c>
      <c r="AY5" s="33">
        <v>20.283999999999999</v>
      </c>
      <c r="AZ5" s="33">
        <v>29.434999999999999</v>
      </c>
      <c r="BA5" s="33">
        <v>31.535</v>
      </c>
      <c r="BB5" s="33">
        <v>25.193000000000001</v>
      </c>
      <c r="BC5" s="33">
        <v>21.1</v>
      </c>
      <c r="BD5" s="33">
        <v>35.683999999999997</v>
      </c>
      <c r="BE5" s="33">
        <v>31.108000000000001</v>
      </c>
      <c r="BF5" s="33">
        <v>32.279000000000003</v>
      </c>
      <c r="BG5" s="33">
        <v>44.63</v>
      </c>
      <c r="BH5" s="33">
        <v>33.548000000000002</v>
      </c>
      <c r="BI5" s="33">
        <v>26.35</v>
      </c>
      <c r="BJ5" s="33">
        <v>16.992000000000001</v>
      </c>
      <c r="BK5" s="33">
        <v>24.082999999999998</v>
      </c>
      <c r="BL5" s="33">
        <v>22.369</v>
      </c>
      <c r="BM5" s="33">
        <v>25.481000000000002</v>
      </c>
      <c r="BN5" s="33">
        <v>31.384</v>
      </c>
      <c r="BO5" s="33">
        <v>21.952000000000002</v>
      </c>
      <c r="BP5" s="33">
        <v>33.113999999999997</v>
      </c>
      <c r="BQ5" s="33">
        <v>14.548</v>
      </c>
      <c r="BR5" s="33">
        <v>18.350000000000001</v>
      </c>
      <c r="BS5" s="33">
        <v>31.097999999999999</v>
      </c>
    </row>
    <row r="6" spans="1:71" ht="12" customHeight="1" thickBot="1" x14ac:dyDescent="0.3">
      <c r="A6" s="31"/>
      <c r="B6" s="32" t="s">
        <v>29</v>
      </c>
      <c r="C6" s="33">
        <v>2.4910000000000001</v>
      </c>
      <c r="D6" s="33">
        <v>3.2679999999999998</v>
      </c>
      <c r="E6" s="29" t="str">
        <f t="shared" si="0"/>
        <v></v>
      </c>
      <c r="F6" s="36">
        <f t="shared" si="1"/>
        <v>-0.2377600979192166</v>
      </c>
      <c r="G6" s="47">
        <v>26.155999999999999</v>
      </c>
      <c r="H6" s="3"/>
      <c r="I6" s="3">
        <f t="shared" si="7"/>
        <v>26.155999999999999</v>
      </c>
      <c r="K6" s="33">
        <v>15.978999999999999</v>
      </c>
      <c r="L6" s="33">
        <v>4.4180000000000001</v>
      </c>
      <c r="M6" s="33">
        <v>3.2679999999999998</v>
      </c>
      <c r="N6" s="33">
        <v>2.4910000000000001</v>
      </c>
      <c r="O6" s="33"/>
      <c r="P6" s="33"/>
      <c r="Q6" s="33"/>
      <c r="R6" s="33"/>
      <c r="S6" s="33"/>
      <c r="T6" s="33"/>
      <c r="U6" s="33"/>
      <c r="V6" s="33"/>
      <c r="X6" s="7">
        <v>51.4</v>
      </c>
      <c r="Y6" s="7">
        <v>45.4</v>
      </c>
      <c r="Z6" s="7">
        <v>106.7</v>
      </c>
      <c r="AA6" s="7"/>
      <c r="AB6" s="7">
        <v>29.1</v>
      </c>
      <c r="AC6" s="7">
        <v>29.1</v>
      </c>
      <c r="AD6" s="7">
        <v>42.2</v>
      </c>
      <c r="AE6" s="7">
        <v>45.747</v>
      </c>
      <c r="AF6" s="7">
        <v>114.72199999999999</v>
      </c>
      <c r="AG6" s="7">
        <v>3.2480000000000002</v>
      </c>
      <c r="AH6" s="7">
        <v>77.599999999999994</v>
      </c>
      <c r="AI6" s="7">
        <v>1.653</v>
      </c>
      <c r="AJ6" s="7"/>
      <c r="AK6" s="7">
        <v>76.930000000000007</v>
      </c>
      <c r="AL6" s="7">
        <v>12.71</v>
      </c>
      <c r="AM6" s="7"/>
      <c r="AN6" s="33">
        <v>9.6999999999999993</v>
      </c>
      <c r="AO6" s="33">
        <v>51.51</v>
      </c>
      <c r="AP6" s="33">
        <v>9.6999999999999993</v>
      </c>
      <c r="AQ6" s="33">
        <v>60.082999999999998</v>
      </c>
      <c r="AR6" s="33">
        <v>43.3</v>
      </c>
      <c r="AS6" s="33">
        <v>9.6999999999999993</v>
      </c>
      <c r="AT6" s="33">
        <v>19.399999999999999</v>
      </c>
      <c r="AU6" s="33"/>
      <c r="AV6" s="33"/>
      <c r="AW6" s="33"/>
      <c r="AX6" s="33"/>
      <c r="AY6" s="33"/>
      <c r="AZ6" s="33"/>
      <c r="BA6" s="33">
        <v>7.133</v>
      </c>
      <c r="BB6" s="33"/>
      <c r="BC6" s="33"/>
      <c r="BD6" s="33"/>
      <c r="BE6" s="33"/>
      <c r="BF6" s="33">
        <v>7.17</v>
      </c>
      <c r="BG6" s="33">
        <v>9.9260000000000002</v>
      </c>
      <c r="BH6" s="33">
        <v>14.381</v>
      </c>
      <c r="BI6" s="33">
        <v>12.592000000000001</v>
      </c>
      <c r="BJ6" s="33">
        <v>4.1580000000000004</v>
      </c>
      <c r="BK6" s="33">
        <v>4.093</v>
      </c>
      <c r="BL6" s="33">
        <v>17.763999999999999</v>
      </c>
      <c r="BM6" s="33">
        <v>20.236999999999998</v>
      </c>
      <c r="BN6" s="33">
        <v>23.023</v>
      </c>
      <c r="BO6" s="33">
        <v>25.439</v>
      </c>
      <c r="BP6" s="33">
        <v>12.381</v>
      </c>
      <c r="BQ6" s="33">
        <v>2.548</v>
      </c>
      <c r="BR6" s="33"/>
      <c r="BS6" s="33">
        <v>14.859</v>
      </c>
    </row>
    <row r="7" spans="1:71" ht="12" customHeight="1" thickBot="1" x14ac:dyDescent="0.3">
      <c r="A7" s="31"/>
      <c r="B7" s="32" t="s">
        <v>21</v>
      </c>
      <c r="C7" s="33"/>
      <c r="D7" s="33"/>
      <c r="E7" s="29" t="str">
        <f t="shared" si="0"/>
        <v/>
      </c>
      <c r="F7" s="36" t="str">
        <f t="shared" si="1"/>
        <v>—</v>
      </c>
      <c r="G7" s="47">
        <v>0</v>
      </c>
      <c r="H7" s="3"/>
      <c r="I7" s="3">
        <f t="shared" si="7"/>
        <v>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X7" s="7"/>
      <c r="Y7" s="7"/>
      <c r="Z7" s="7"/>
      <c r="AA7" s="7"/>
      <c r="AB7" s="7">
        <v>2.3519999999999999</v>
      </c>
      <c r="AC7" s="7">
        <v>2.2949999999999999</v>
      </c>
      <c r="AD7" s="7">
        <v>2.2799999999999998</v>
      </c>
      <c r="AE7" s="7"/>
      <c r="AF7" s="7">
        <v>2.3149999999999999</v>
      </c>
      <c r="AG7" s="7"/>
      <c r="AH7" s="7"/>
      <c r="AI7" s="7"/>
      <c r="AJ7" s="7"/>
      <c r="AK7" s="7">
        <v>2.3130000000000002</v>
      </c>
      <c r="AL7" s="7">
        <v>2.2799999999999998</v>
      </c>
      <c r="AM7" s="7"/>
      <c r="AN7" s="33"/>
      <c r="AO7" s="33">
        <v>2.2200000000000002</v>
      </c>
      <c r="AP7" s="33">
        <v>2.3450000000000002</v>
      </c>
      <c r="AQ7" s="33">
        <v>2.3340000000000001</v>
      </c>
      <c r="AR7" s="33"/>
      <c r="AS7" s="33"/>
      <c r="AT7" s="33"/>
      <c r="AU7" s="33"/>
      <c r="AV7" s="33"/>
      <c r="AW7" s="33"/>
      <c r="AX7" s="33"/>
      <c r="AY7" s="33">
        <v>2.3439999999999999</v>
      </c>
      <c r="AZ7" s="33"/>
      <c r="BA7" s="33"/>
      <c r="BB7" s="33"/>
      <c r="BC7" s="33"/>
      <c r="BD7" s="33">
        <v>2.3340000000000001</v>
      </c>
      <c r="BE7" s="33"/>
      <c r="BF7" s="33"/>
      <c r="BG7" s="33"/>
      <c r="BH7" s="33"/>
      <c r="BI7" s="33"/>
      <c r="BJ7" s="33"/>
      <c r="BK7" s="33"/>
      <c r="BL7" s="33">
        <v>4.6669999999999998</v>
      </c>
      <c r="BM7" s="33"/>
      <c r="BN7" s="33">
        <v>2.762</v>
      </c>
      <c r="BO7" s="33">
        <v>2.7549999999999999</v>
      </c>
      <c r="BP7" s="33"/>
      <c r="BQ7" s="33"/>
      <c r="BR7" s="33"/>
      <c r="BS7" s="33">
        <v>2.2290000000000001</v>
      </c>
    </row>
    <row r="8" spans="1:71" ht="12" customHeight="1" thickBot="1" x14ac:dyDescent="0.3">
      <c r="A8" s="31"/>
      <c r="B8" s="32" t="s">
        <v>31</v>
      </c>
      <c r="C8" s="33"/>
      <c r="D8" s="33"/>
      <c r="E8" s="29" t="str">
        <f t="shared" si="0"/>
        <v/>
      </c>
      <c r="F8" s="36" t="str">
        <f t="shared" si="1"/>
        <v>—</v>
      </c>
      <c r="G8" s="47">
        <v>0</v>
      </c>
      <c r="H8" s="3"/>
      <c r="I8" s="3">
        <f t="shared" si="7"/>
        <v>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X8" s="7"/>
      <c r="Y8" s="7"/>
      <c r="Z8" s="7"/>
      <c r="AA8" s="7"/>
      <c r="AB8" s="7">
        <v>2.274</v>
      </c>
      <c r="AC8" s="7"/>
      <c r="AD8" s="7"/>
      <c r="AE8" s="7"/>
      <c r="AF8" s="7">
        <v>2.2490000000000001</v>
      </c>
      <c r="AG8" s="7"/>
      <c r="AH8" s="7">
        <v>2.294</v>
      </c>
      <c r="AI8" s="7"/>
      <c r="AJ8" s="7"/>
      <c r="AK8" s="7"/>
      <c r="AL8" s="7"/>
      <c r="AM8" s="7"/>
      <c r="AN8" s="33"/>
      <c r="AO8" s="33"/>
      <c r="AP8" s="33"/>
      <c r="AQ8" s="33"/>
      <c r="AR8" s="33"/>
      <c r="AS8" s="33"/>
      <c r="AT8" s="33">
        <v>2.242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ht="12" customHeight="1" thickBot="1" x14ac:dyDescent="0.3">
      <c r="A9" s="31"/>
      <c r="B9" s="32" t="s">
        <v>44</v>
      </c>
      <c r="C9" s="33"/>
      <c r="D9" s="33"/>
      <c r="E9" s="29" t="str">
        <f t="shared" ref="E9" si="8">IF(OR(F9="=",F9="≈",F9="—"),"",IF(F9&gt;0,"",IF(F9&lt;0,"","")))</f>
        <v/>
      </c>
      <c r="F9" s="36" t="str">
        <f t="shared" ref="F9" si="9">IFERROR(IF(C9/D9-1=0,"=",IF(C9/D9-1=-1,"—",IF(OR(AND(C9/D9-1&lt;0.005,C9/D9-1&gt;0), AND(C9/D9-1&lt;0,C9/D9-1&gt;-0.005)),"≈",C9/D9-1))),"—")</f>
        <v>—</v>
      </c>
      <c r="G9" s="47">
        <v>0</v>
      </c>
      <c r="H9" s="3"/>
      <c r="I9" s="3">
        <f t="shared" si="7"/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>
        <v>13.888</v>
      </c>
      <c r="AK9" s="7">
        <v>11.404</v>
      </c>
      <c r="AL9" s="7">
        <v>7.6260000000000003</v>
      </c>
      <c r="AM9" s="7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>
        <v>10.057</v>
      </c>
      <c r="BN9" s="33"/>
      <c r="BO9" s="33"/>
      <c r="BP9" s="33"/>
      <c r="BQ9" s="33"/>
      <c r="BR9" s="33"/>
      <c r="BS9" s="33"/>
    </row>
    <row r="10" spans="1:71" ht="12" customHeight="1" thickBot="1" x14ac:dyDescent="0.3">
      <c r="A10" s="31"/>
      <c r="B10" s="32" t="s">
        <v>30</v>
      </c>
      <c r="C10" s="33"/>
      <c r="D10" s="33"/>
      <c r="E10" s="29" t="str">
        <f t="shared" si="0"/>
        <v/>
      </c>
      <c r="F10" s="36" t="str">
        <f t="shared" si="1"/>
        <v>—</v>
      </c>
      <c r="G10" s="47">
        <v>0</v>
      </c>
      <c r="H10" s="3"/>
      <c r="I10" s="3">
        <f t="shared" si="7"/>
        <v>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X10" s="7"/>
      <c r="Y10" s="7">
        <v>3</v>
      </c>
      <c r="Z10" s="7">
        <v>2.907</v>
      </c>
      <c r="AA10" s="7"/>
      <c r="AB10" s="7"/>
      <c r="AC10" s="7"/>
      <c r="AD10" s="7"/>
      <c r="AE10" s="7"/>
      <c r="AF10" s="7"/>
      <c r="AG10" s="7"/>
      <c r="AH10" s="7"/>
      <c r="AI10" s="7">
        <v>9.9160000000000004</v>
      </c>
      <c r="AJ10" s="7">
        <v>7.1139999999999999</v>
      </c>
      <c r="AK10" s="7">
        <v>7.1349999999999998</v>
      </c>
      <c r="AL10" s="7"/>
      <c r="AM10" s="7"/>
      <c r="AN10" s="33"/>
      <c r="AO10" s="33"/>
      <c r="AP10" s="33"/>
      <c r="AQ10" s="33"/>
      <c r="AR10" s="33">
        <v>7.1159999999999997</v>
      </c>
      <c r="AS10" s="33"/>
      <c r="AT10" s="33"/>
      <c r="AU10" s="33"/>
      <c r="AV10" s="33"/>
      <c r="AW10" s="33"/>
      <c r="AX10" s="33"/>
      <c r="AY10" s="33"/>
      <c r="AZ10" s="33">
        <v>5.9429999999999996</v>
      </c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>
        <v>7.1440000000000001</v>
      </c>
      <c r="BM10" s="33"/>
      <c r="BN10" s="33"/>
      <c r="BO10" s="33"/>
      <c r="BP10" s="33"/>
      <c r="BQ10" s="33"/>
      <c r="BR10" s="33"/>
      <c r="BS10" s="33"/>
    </row>
    <row r="11" spans="1:71" ht="12" customHeight="1" thickBot="1" x14ac:dyDescent="0.3">
      <c r="A11" s="31"/>
      <c r="B11" s="32" t="s">
        <v>35</v>
      </c>
      <c r="C11" s="33">
        <v>6.6879999999999997</v>
      </c>
      <c r="D11" s="33">
        <v>11.683999999999999</v>
      </c>
      <c r="E11" s="29" t="str">
        <f t="shared" si="0"/>
        <v></v>
      </c>
      <c r="F11" s="36">
        <f t="shared" si="1"/>
        <v>-0.42759328996918866</v>
      </c>
      <c r="G11" s="47">
        <v>32.282000000000004</v>
      </c>
      <c r="H11" s="3"/>
      <c r="I11" s="3">
        <f t="shared" si="7"/>
        <v>32.282000000000004</v>
      </c>
      <c r="K11" s="33">
        <v>6.8659999999999997</v>
      </c>
      <c r="L11" s="33">
        <v>7.0439999999999996</v>
      </c>
      <c r="M11" s="33">
        <v>11.683999999999999</v>
      </c>
      <c r="N11" s="33">
        <v>6.6879999999999997</v>
      </c>
      <c r="O11" s="33"/>
      <c r="P11" s="33"/>
      <c r="Q11" s="33"/>
      <c r="R11" s="33"/>
      <c r="S11" s="33"/>
      <c r="T11" s="33"/>
      <c r="U11" s="33"/>
      <c r="V11" s="33"/>
      <c r="X11" s="7">
        <v>1.4330000000000001</v>
      </c>
      <c r="Y11" s="7">
        <v>1.3740000000000001</v>
      </c>
      <c r="Z11" s="7">
        <v>3.2879999999999998</v>
      </c>
      <c r="AA11" s="7">
        <v>0.23</v>
      </c>
      <c r="AB11" s="7">
        <v>0.78200000000000003</v>
      </c>
      <c r="AC11" s="7">
        <v>3.988</v>
      </c>
      <c r="AD11" s="7">
        <v>4.298</v>
      </c>
      <c r="AE11" s="7">
        <v>8.17</v>
      </c>
      <c r="AF11" s="7">
        <v>7.5830000000000002</v>
      </c>
      <c r="AG11" s="7">
        <v>6.2489999999999997</v>
      </c>
      <c r="AH11" s="7">
        <v>6.12</v>
      </c>
      <c r="AI11" s="7">
        <v>7.5190000000000001</v>
      </c>
      <c r="AJ11" s="7">
        <v>3.9039999999999999</v>
      </c>
      <c r="AK11" s="7">
        <v>2.7549999999999999</v>
      </c>
      <c r="AL11" s="7">
        <v>9.1370000000000005</v>
      </c>
      <c r="AM11" s="7">
        <v>6.5229999999999997</v>
      </c>
      <c r="AN11" s="33">
        <v>5.7789999999999999</v>
      </c>
      <c r="AO11" s="33">
        <v>3.032</v>
      </c>
      <c r="AP11" s="33">
        <v>3.6799999999999999E-2</v>
      </c>
      <c r="AQ11" s="33"/>
      <c r="AR11" s="33">
        <v>0.98099999999999998</v>
      </c>
      <c r="AS11" s="33">
        <v>1.8720000000000001</v>
      </c>
      <c r="AT11" s="33">
        <v>0.58899999999999997</v>
      </c>
      <c r="AU11" s="33">
        <v>5.6130000000000004</v>
      </c>
      <c r="AV11" s="33">
        <v>5.8410000000000002</v>
      </c>
      <c r="AW11" s="33">
        <v>2.0830000000000002</v>
      </c>
      <c r="AX11" s="33"/>
      <c r="AY11" s="33"/>
      <c r="AZ11" s="33"/>
      <c r="BA11" s="33"/>
      <c r="BB11" s="33"/>
      <c r="BC11" s="33"/>
      <c r="BD11" s="33">
        <v>1.99</v>
      </c>
      <c r="BE11" s="33">
        <v>2.97</v>
      </c>
      <c r="BF11" s="33">
        <v>2.4609999999999999</v>
      </c>
      <c r="BG11" s="33">
        <v>0.36099999999999999</v>
      </c>
      <c r="BH11" s="33">
        <v>2.9820000000000002</v>
      </c>
      <c r="BI11" s="33">
        <v>5.3819999999999997</v>
      </c>
      <c r="BJ11" s="33">
        <v>1.3560000000000001</v>
      </c>
      <c r="BK11" s="33">
        <v>4.2830000000000004</v>
      </c>
      <c r="BL11" s="33">
        <v>9.3190000000000008</v>
      </c>
      <c r="BM11" s="33"/>
      <c r="BN11" s="33">
        <v>2.851</v>
      </c>
      <c r="BO11" s="33">
        <v>4.2460000000000004</v>
      </c>
      <c r="BP11" s="33">
        <v>6.2629999999999999</v>
      </c>
      <c r="BQ11" s="33">
        <v>4.7190000000000003</v>
      </c>
      <c r="BR11" s="33">
        <v>6.3620000000000001</v>
      </c>
      <c r="BS11" s="33">
        <v>12.436</v>
      </c>
    </row>
    <row r="12" spans="1:71" ht="12" customHeight="1" thickBot="1" x14ac:dyDescent="0.3">
      <c r="A12" s="31"/>
      <c r="B12" s="32" t="s">
        <v>27</v>
      </c>
      <c r="C12" s="33">
        <v>2.2440000000000002</v>
      </c>
      <c r="D12" s="33">
        <v>9.3529999999999998</v>
      </c>
      <c r="E12" s="29" t="str">
        <f t="shared" si="0"/>
        <v></v>
      </c>
      <c r="F12" s="36">
        <f t="shared" si="1"/>
        <v>-0.7600769806479204</v>
      </c>
      <c r="G12" s="47">
        <v>23.18</v>
      </c>
      <c r="H12" s="18"/>
      <c r="I12" s="3">
        <f t="shared" si="7"/>
        <v>23.18</v>
      </c>
      <c r="J12" s="10"/>
      <c r="K12" s="33">
        <v>6.984</v>
      </c>
      <c r="L12" s="33">
        <v>4.5990000000000002</v>
      </c>
      <c r="M12" s="33">
        <v>9.3529999999999998</v>
      </c>
      <c r="N12" s="33">
        <v>2.2440000000000002</v>
      </c>
      <c r="O12" s="33"/>
      <c r="P12" s="33"/>
      <c r="Q12" s="33"/>
      <c r="R12" s="33"/>
      <c r="S12" s="33"/>
      <c r="T12" s="33"/>
      <c r="U12" s="33"/>
      <c r="V12" s="33"/>
      <c r="X12" s="7"/>
      <c r="Y12" s="7"/>
      <c r="Z12" s="7">
        <v>1.589</v>
      </c>
      <c r="AA12" s="7"/>
      <c r="AB12" s="7"/>
      <c r="AC12" s="7">
        <v>4.609</v>
      </c>
      <c r="AD12" s="7">
        <v>4.6100000000000003</v>
      </c>
      <c r="AE12" s="7"/>
      <c r="AF12" s="7">
        <v>6.9539999999999997</v>
      </c>
      <c r="AG12" s="7">
        <v>2.306</v>
      </c>
      <c r="AH12" s="7"/>
      <c r="AI12" s="7"/>
      <c r="AJ12" s="7">
        <v>1.62</v>
      </c>
      <c r="AK12" s="7"/>
      <c r="AL12" s="7"/>
      <c r="AM12" s="7"/>
      <c r="AN12" s="33"/>
      <c r="AO12" s="33"/>
      <c r="AP12" s="33"/>
      <c r="AQ12" s="33">
        <v>2.3180000000000001</v>
      </c>
      <c r="AR12" s="33"/>
      <c r="AS12" s="33">
        <v>2.3090000000000002</v>
      </c>
      <c r="AT12" s="33"/>
      <c r="AU12" s="33"/>
      <c r="AV12" s="33"/>
      <c r="AW12" s="33"/>
      <c r="AX12" s="33">
        <v>7.0439999999999996</v>
      </c>
      <c r="AY12" s="33">
        <v>2.391</v>
      </c>
      <c r="AZ12" s="33"/>
      <c r="BA12" s="33">
        <v>4.7919999999999998</v>
      </c>
      <c r="BB12" s="33">
        <v>4.6529999999999996</v>
      </c>
      <c r="BC12" s="33">
        <v>6.9809999999999999</v>
      </c>
      <c r="BD12" s="33">
        <v>4.6529999999999996</v>
      </c>
      <c r="BE12" s="33">
        <v>6.9580000000000002</v>
      </c>
      <c r="BF12" s="33">
        <v>6.907</v>
      </c>
      <c r="BG12" s="33">
        <v>6.8890000000000002</v>
      </c>
      <c r="BH12" s="33">
        <v>6.9</v>
      </c>
      <c r="BI12" s="33">
        <v>4.4880000000000004</v>
      </c>
      <c r="BJ12" s="33">
        <v>4.58</v>
      </c>
      <c r="BK12" s="33">
        <v>2.2890000000000001</v>
      </c>
      <c r="BL12" s="33">
        <v>11.576000000000001</v>
      </c>
      <c r="BM12" s="33">
        <v>9.2319999999999993</v>
      </c>
      <c r="BN12" s="33">
        <v>11.506</v>
      </c>
      <c r="BO12" s="33">
        <v>9.157</v>
      </c>
      <c r="BP12" s="33">
        <v>13.855</v>
      </c>
      <c r="BQ12" s="33">
        <v>4.5449999999999999</v>
      </c>
      <c r="BR12" s="33"/>
      <c r="BS12" s="33">
        <v>4.6239999999999997</v>
      </c>
    </row>
    <row r="13" spans="1:71" ht="12" customHeight="1" thickBot="1" x14ac:dyDescent="0.3">
      <c r="A13" s="31"/>
      <c r="B13" s="32" t="s">
        <v>18</v>
      </c>
      <c r="C13" s="33"/>
      <c r="D13" s="33"/>
      <c r="E13" s="29" t="str">
        <f t="shared" si="0"/>
        <v/>
      </c>
      <c r="F13" s="36" t="str">
        <f t="shared" si="1"/>
        <v>—</v>
      </c>
      <c r="G13" s="47">
        <v>0</v>
      </c>
      <c r="H13" s="18"/>
      <c r="I13" s="3">
        <f t="shared" si="7"/>
        <v>0</v>
      </c>
      <c r="J13" s="10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X13" s="7">
        <v>8.0000000000000002E-3</v>
      </c>
      <c r="Y13" s="7">
        <v>0.01</v>
      </c>
      <c r="Z13" s="7"/>
      <c r="AA13" s="7">
        <v>6.0000000000000001E-3</v>
      </c>
      <c r="AB13" s="7">
        <v>8.9999999999999993E-3</v>
      </c>
      <c r="AC13" s="7">
        <v>1E-3</v>
      </c>
      <c r="AD13" s="7">
        <v>8.0000000000000002E-3</v>
      </c>
      <c r="AE13" s="7">
        <v>4.0000000000000001E-3</v>
      </c>
      <c r="AF13" s="7">
        <v>2E-3</v>
      </c>
      <c r="AG13" s="7">
        <v>3.0000000000000001E-3</v>
      </c>
      <c r="AH13" s="7"/>
      <c r="AI13" s="7">
        <v>5.0000000000000001E-3</v>
      </c>
      <c r="AJ13" s="7"/>
      <c r="AK13" s="7"/>
      <c r="AL13" s="7"/>
      <c r="AM13" s="7"/>
      <c r="AN13" s="33"/>
      <c r="AO13" s="33">
        <v>2E-3</v>
      </c>
      <c r="AP13" s="33"/>
      <c r="AQ13" s="33"/>
      <c r="AR13" s="33">
        <v>2.9030000000000002E-3</v>
      </c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>
        <v>5.6239999999999997E-3</v>
      </c>
      <c r="BH13" s="33">
        <v>5.7999999999999996E-3</v>
      </c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 ht="12" customHeight="1" thickBot="1" x14ac:dyDescent="0.3">
      <c r="A14" s="31"/>
      <c r="B14" s="32" t="s">
        <v>17</v>
      </c>
      <c r="C14" s="33"/>
      <c r="D14" s="33">
        <v>5.8780000000000001</v>
      </c>
      <c r="E14" s="29" t="str">
        <f t="shared" ref="E14" si="10">IF(OR(F14="=",F14="≈",F14="—"),"",IF(F14&gt;0,"",IF(F14&lt;0,"","")))</f>
        <v/>
      </c>
      <c r="F14" s="36" t="str">
        <f t="shared" ref="F14" si="11">IFERROR(IF(C14/D14-1=0,"=",IF(C14/D14-1=-1,"—",IF(OR(AND(C14/D14-1&lt;0.005,C14/D14-1&gt;0), AND(C14/D14-1&lt;0,C14/D14-1&gt;-0.005)),"≈",C14/D14-1))),"—")</f>
        <v>—</v>
      </c>
      <c r="G14" s="47">
        <v>22.207000000000001</v>
      </c>
      <c r="H14" s="18"/>
      <c r="I14" s="3">
        <f t="shared" si="7"/>
        <v>22.207000000000001</v>
      </c>
      <c r="J14" s="10"/>
      <c r="K14" s="33">
        <v>4.649</v>
      </c>
      <c r="L14" s="33">
        <v>11.68</v>
      </c>
      <c r="M14" s="33">
        <v>5.8780000000000001</v>
      </c>
      <c r="N14" s="33"/>
      <c r="O14" s="33"/>
      <c r="P14" s="33"/>
      <c r="Q14" s="33"/>
      <c r="R14" s="33"/>
      <c r="S14" s="33"/>
      <c r="T14" s="33"/>
      <c r="U14" s="33"/>
      <c r="V14" s="33"/>
      <c r="X14" s="7"/>
      <c r="Y14" s="7"/>
      <c r="Z14" s="7"/>
      <c r="AA14" s="7"/>
      <c r="AB14" s="7"/>
      <c r="AC14" s="7"/>
      <c r="AD14" s="7"/>
      <c r="AE14" s="7">
        <v>2.294</v>
      </c>
      <c r="AF14" s="7">
        <v>4.3810000000000002</v>
      </c>
      <c r="AG14" s="7">
        <v>11.459</v>
      </c>
      <c r="AH14" s="7">
        <v>4.8609999999999998</v>
      </c>
      <c r="AI14" s="7">
        <v>4.6219999999999999</v>
      </c>
      <c r="AJ14" s="7">
        <v>3.5920000000000001</v>
      </c>
      <c r="AK14" s="7">
        <v>12.244999999999999</v>
      </c>
      <c r="AL14" s="7">
        <v>3.1619999999999999</v>
      </c>
      <c r="AM14" s="7">
        <v>2.194</v>
      </c>
      <c r="AN14" s="33"/>
      <c r="AO14" s="33">
        <v>9.18</v>
      </c>
      <c r="AP14" s="33">
        <v>2.2770000000000001</v>
      </c>
      <c r="AQ14" s="33"/>
      <c r="AR14" s="33">
        <v>13.074999999999999</v>
      </c>
      <c r="AS14" s="33">
        <v>16.28</v>
      </c>
      <c r="AT14" s="33">
        <v>9.1649999999999991</v>
      </c>
      <c r="AU14" s="33"/>
      <c r="AV14" s="33"/>
      <c r="AW14" s="33"/>
      <c r="AX14" s="33"/>
      <c r="AY14" s="33"/>
      <c r="AZ14" s="33">
        <v>1.6619999999999999</v>
      </c>
      <c r="BA14" s="33">
        <v>5.4989999999999997</v>
      </c>
      <c r="BB14" s="33"/>
      <c r="BC14" s="33"/>
      <c r="BD14" s="33">
        <v>14.01</v>
      </c>
      <c r="BE14" s="33">
        <v>6.2990000000000004</v>
      </c>
      <c r="BF14" s="33"/>
      <c r="BG14" s="33"/>
      <c r="BH14" s="33">
        <v>2.298</v>
      </c>
      <c r="BI14" s="33"/>
      <c r="BJ14" s="33"/>
      <c r="BK14" s="33"/>
      <c r="BL14" s="33"/>
      <c r="BM14" s="33"/>
      <c r="BN14" s="33">
        <v>4.5999999999999996</v>
      </c>
      <c r="BO14" s="33">
        <v>9.1259999999999994</v>
      </c>
      <c r="BP14" s="33">
        <v>4.4569999999999999</v>
      </c>
      <c r="BQ14" s="33"/>
      <c r="BR14" s="33"/>
      <c r="BS14" s="33"/>
    </row>
    <row r="15" spans="1:71" ht="12" customHeight="1" thickBot="1" x14ac:dyDescent="0.3">
      <c r="A15" s="31"/>
      <c r="B15" s="32" t="s">
        <v>25</v>
      </c>
      <c r="C15" s="33"/>
      <c r="D15" s="33"/>
      <c r="E15" s="29" t="str">
        <f t="shared" ref="E15:E16" si="12">IF(OR(F15="=",F15="≈",F15="—"),"",IF(F15&gt;0,"",IF(F15&lt;0,"","")))</f>
        <v/>
      </c>
      <c r="F15" s="36" t="str">
        <f t="shared" ref="F15:F16" si="13">IFERROR(IF(C15/D15-1=0,"=",IF(C15/D15-1=-1,"—",IF(OR(AND(C15/D15-1&lt;0.005,C15/D15-1&gt;0), AND(C15/D15-1&lt;0,C15/D15-1&gt;-0.005)),"≈",C15/D15-1))),"—")</f>
        <v>—</v>
      </c>
      <c r="G15" s="47">
        <v>0</v>
      </c>
      <c r="H15" s="18"/>
      <c r="I15" s="3">
        <f t="shared" si="7"/>
        <v>0</v>
      </c>
      <c r="J15" s="10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3"/>
      <c r="AO15" s="33">
        <v>4.6420000000000003</v>
      </c>
      <c r="AP15" s="33"/>
      <c r="AQ15" s="33"/>
      <c r="AR15" s="33"/>
      <c r="AS15" s="33"/>
      <c r="AT15" s="33"/>
      <c r="AU15" s="33"/>
      <c r="AV15" s="33"/>
      <c r="AW15" s="33"/>
      <c r="AX15" s="33"/>
      <c r="AY15" s="33">
        <v>2.3519999999999999</v>
      </c>
      <c r="AZ15" s="33">
        <v>2.3660000000000001</v>
      </c>
      <c r="BA15" s="33">
        <v>4.6189999999999998</v>
      </c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>
        <v>9.4589999999999996</v>
      </c>
      <c r="BN15" s="33">
        <v>2.4359999999999999</v>
      </c>
      <c r="BO15" s="33"/>
      <c r="BP15" s="33"/>
      <c r="BQ15" s="33"/>
      <c r="BR15" s="33"/>
      <c r="BS15" s="33"/>
    </row>
    <row r="16" spans="1:71" ht="12" customHeight="1" thickBot="1" x14ac:dyDescent="0.3">
      <c r="A16" s="31"/>
      <c r="B16" s="32" t="s">
        <v>26</v>
      </c>
      <c r="C16" s="33"/>
      <c r="D16" s="33"/>
      <c r="E16" s="29" t="str">
        <f t="shared" si="12"/>
        <v/>
      </c>
      <c r="F16" s="36" t="str">
        <f t="shared" si="13"/>
        <v>—</v>
      </c>
      <c r="G16" s="47">
        <v>4.9729999999999999</v>
      </c>
      <c r="H16" s="18"/>
      <c r="I16" s="3">
        <f t="shared" si="7"/>
        <v>4.9729999999999999</v>
      </c>
      <c r="J16" s="10"/>
      <c r="K16" s="33"/>
      <c r="L16" s="33">
        <v>4.9729999999999999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>
        <v>3.2</v>
      </c>
      <c r="BB16" s="33"/>
      <c r="BC16" s="33"/>
      <c r="BD16" s="33"/>
      <c r="BE16" s="33">
        <v>1.669</v>
      </c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59" ht="12" customHeight="1" thickBot="1" x14ac:dyDescent="0.3">
      <c r="A17" s="31"/>
      <c r="B17" s="32" t="s">
        <v>28</v>
      </c>
      <c r="C17" s="33"/>
      <c r="D17" s="33"/>
      <c r="E17" s="29" t="str">
        <f t="shared" ref="E17" si="14">IF(OR(F17="=",F17="≈",F17="—"),"",IF(F17&gt;0,"",IF(F17&lt;0,"","")))</f>
        <v/>
      </c>
      <c r="F17" s="36" t="str">
        <f t="shared" ref="F17" si="15">IFERROR(IF(C17/D17-1=0,"=",IF(C17/D17-1=-1,"—",IF(OR(AND(C17/D17-1&lt;0.005,C17/D17-1&gt;0), AND(C17/D17-1&lt;0,C17/D17-1&gt;-0.005)),"≈",C17/D17-1))),"—")</f>
        <v>—</v>
      </c>
      <c r="G17" s="47">
        <v>2.2669999999999999</v>
      </c>
      <c r="H17" s="18"/>
      <c r="I17" s="3">
        <f t="shared" si="7"/>
        <v>2.2669999999999999</v>
      </c>
      <c r="J17" s="10"/>
      <c r="K17" s="33">
        <v>2.2669999999999999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</row>
    <row r="18" spans="1:59" x14ac:dyDescent="0.25">
      <c r="E18" s="17"/>
      <c r="H18" s="10"/>
      <c r="I18" s="10"/>
      <c r="J18" s="10"/>
    </row>
    <row r="19" spans="1:59" ht="15.75" thickBot="1" x14ac:dyDescent="0.3">
      <c r="E19" s="17"/>
    </row>
    <row r="20" spans="1:59" ht="12" customHeight="1" thickBot="1" x14ac:dyDescent="0.3">
      <c r="A20" s="31"/>
      <c r="B20" s="32" t="s">
        <v>57</v>
      </c>
      <c r="C20" s="33"/>
      <c r="D20" s="33"/>
      <c r="E20" s="29" t="str">
        <f t="shared" ref="E20" si="16">IF(OR(F20="=",F20="≈",F20="—"),"",IF(F20&gt;0,"",IF(F20&lt;0,"","")))</f>
        <v/>
      </c>
      <c r="F20" s="36" t="str">
        <f t="shared" ref="F20" si="17">IFERROR(IF(C20/D20-1=0,"=",IF(C20/D20-1=-1,"—",IF(OR(AND(C20/D20-1&lt;0.005,C20/D20-1&gt;0), AND(C20/D20-1&lt;0,C20/D20-1&gt;-0.005)),"≈",C20/D20-1))),"—")</f>
        <v>—</v>
      </c>
      <c r="G20" s="47">
        <v>0</v>
      </c>
      <c r="H20" s="18"/>
      <c r="I20" s="3">
        <f t="shared" ref="I20" si="18">SUM(K20:V20)</f>
        <v>0</v>
      </c>
      <c r="J20" s="10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3"/>
      <c r="AO20" s="33"/>
      <c r="AP20" s="33"/>
      <c r="AQ20" s="33"/>
      <c r="AR20" s="33"/>
      <c r="AS20" s="33"/>
      <c r="AT20" s="33"/>
      <c r="AU20" s="33"/>
      <c r="AV20" s="33">
        <v>6.923</v>
      </c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</row>
  </sheetData>
  <mergeCells count="1">
    <mergeCell ref="E1:F1"/>
  </mergeCells>
  <conditionalFormatting sqref="E3:E15">
    <cfRule type="containsText" dxfId="29" priority="33" operator="containsText" text="">
      <formula>NOT(ISERROR(SEARCH("",E3)))</formula>
    </cfRule>
    <cfRule type="containsText" dxfId="28" priority="34" operator="containsText" text="">
      <formula>NOT(ISERROR(SEARCH("",E3)))</formula>
    </cfRule>
  </conditionalFormatting>
  <conditionalFormatting sqref="E17">
    <cfRule type="containsText" dxfId="27" priority="5" operator="containsText" text="">
      <formula>NOT(ISERROR(SEARCH("",E17)))</formula>
    </cfRule>
    <cfRule type="containsText" dxfId="26" priority="6" operator="containsText" text="">
      <formula>NOT(ISERROR(SEARCH("",E17)))</formula>
    </cfRule>
  </conditionalFormatting>
  <conditionalFormatting sqref="E16">
    <cfRule type="containsText" dxfId="25" priority="3" operator="containsText" text="">
      <formula>NOT(ISERROR(SEARCH("",E16)))</formula>
    </cfRule>
    <cfRule type="containsText" dxfId="24" priority="4" operator="containsText" text="">
      <formula>NOT(ISERROR(SEARCH("",E16)))</formula>
    </cfRule>
  </conditionalFormatting>
  <conditionalFormatting sqref="E20">
    <cfRule type="containsText" dxfId="23" priority="1" operator="containsText" text="">
      <formula>NOT(ISERROR(SEARCH("",E20)))</formula>
    </cfRule>
    <cfRule type="containsText" dxfId="22" priority="2" operator="containsText" text="">
      <formula>NOT(ISERROR(SEARCH("",E20)))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17"/>
  <sheetViews>
    <sheetView zoomScale="90" zoomScaleNormal="90" workbookViewId="0">
      <selection activeCell="C1" sqref="C1:G1"/>
    </sheetView>
  </sheetViews>
  <sheetFormatPr defaultRowHeight="15" x14ac:dyDescent="0.25"/>
  <cols>
    <col min="2" max="2" width="11.140625" customWidth="1"/>
    <col min="3" max="4" width="10.85546875" customWidth="1"/>
    <col min="11" max="22" width="10.85546875" customWidth="1"/>
    <col min="29" max="29" width="10.85546875" customWidth="1"/>
    <col min="32" max="32" width="10.85546875" customWidth="1"/>
    <col min="35" max="50" width="10.8554687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98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52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60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x14ac:dyDescent="0.25">
      <c r="A2" s="41" t="s">
        <v>3</v>
      </c>
      <c r="B2" s="41"/>
      <c r="C2" s="41"/>
      <c r="D2" s="41"/>
      <c r="E2" s="42"/>
      <c r="F2" s="42"/>
      <c r="G2" s="42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</row>
    <row r="3" spans="1:71" ht="12" customHeight="1" thickBot="1" x14ac:dyDescent="0.3">
      <c r="A3" s="26" t="s">
        <v>8</v>
      </c>
      <c r="B3" s="32"/>
      <c r="C3" s="28">
        <v>20.95</v>
      </c>
      <c r="D3" s="28">
        <v>0.18099999999999999</v>
      </c>
      <c r="E3" s="29" t="str">
        <f t="shared" ref="E3:E13" si="0">IF(OR(F3="=",F3="≈",F3="—"),"",IF(F3&gt;0,"",IF(F3&lt;0,"","")))</f>
        <v/>
      </c>
      <c r="F3" s="36" t="s">
        <v>99</v>
      </c>
      <c r="G3" s="28">
        <v>24.123999999999999</v>
      </c>
      <c r="H3" s="3"/>
      <c r="I3" s="3">
        <f>SUM(K3:V3)</f>
        <v>24.123999999999999</v>
      </c>
      <c r="J3" s="10"/>
      <c r="K3" s="28">
        <v>2.78</v>
      </c>
      <c r="L3" s="28">
        <v>0.21299999999999999</v>
      </c>
      <c r="M3" s="28">
        <v>0.18099999999999999</v>
      </c>
      <c r="N3" s="28">
        <v>20.95</v>
      </c>
      <c r="O3" s="28"/>
      <c r="P3" s="28"/>
      <c r="Q3" s="28"/>
      <c r="R3" s="28"/>
      <c r="S3" s="28"/>
      <c r="T3" s="28"/>
      <c r="U3" s="28"/>
      <c r="V3" s="28"/>
      <c r="X3" s="14">
        <f>SUM(X7:X13)</f>
        <v>0.1328</v>
      </c>
      <c r="Y3" s="14">
        <f t="shared" ref="Y3:AE3" si="1">SUM(Y7:Y13)</f>
        <v>1.6102000000000001</v>
      </c>
      <c r="Z3" s="14">
        <f t="shared" si="1"/>
        <v>3.2468999999999997</v>
      </c>
      <c r="AA3" s="14">
        <f t="shared" si="1"/>
        <v>4.8069999999999995</v>
      </c>
      <c r="AB3" s="14">
        <f t="shared" si="1"/>
        <v>11.959899999999999</v>
      </c>
      <c r="AC3" s="14">
        <f t="shared" si="1"/>
        <v>3.8889</v>
      </c>
      <c r="AD3" s="14">
        <f t="shared" si="1"/>
        <v>3.3367</v>
      </c>
      <c r="AE3" s="14">
        <f t="shared" si="1"/>
        <v>0.17080000000000001</v>
      </c>
      <c r="AF3" s="14">
        <f t="shared" ref="AF3:AG3" si="2">SUM(AF7:AF13)</f>
        <v>0.14940000000000001</v>
      </c>
      <c r="AG3" s="14">
        <f t="shared" si="2"/>
        <v>0.17199999999999999</v>
      </c>
      <c r="AH3" s="14">
        <f t="shared" ref="AH3:AI3" si="3">SUM(AH7:AH13)</f>
        <v>0.11899999999999999</v>
      </c>
      <c r="AI3" s="14">
        <f t="shared" si="3"/>
        <v>1.17E-2</v>
      </c>
      <c r="AJ3" s="14">
        <f t="shared" ref="AJ3:AK3" si="4">SUM(AJ7:AJ13)</f>
        <v>9.9000000000000005E-2</v>
      </c>
      <c r="AK3" s="14">
        <f t="shared" si="4"/>
        <v>7.3999999999999996E-2</v>
      </c>
      <c r="AL3" s="14">
        <f t="shared" ref="AL3" si="5">SUM(AL7:AL13)</f>
        <v>4.9340000000000002</v>
      </c>
      <c r="AM3" s="14">
        <v>3.45</v>
      </c>
      <c r="AN3" s="28">
        <v>6.51</v>
      </c>
      <c r="AO3" s="28">
        <v>4.9000000000000004</v>
      </c>
      <c r="AP3" s="28">
        <v>0.23499999999999999</v>
      </c>
      <c r="AQ3" s="28">
        <v>1.84</v>
      </c>
      <c r="AR3" s="28">
        <v>0.212864</v>
      </c>
      <c r="AS3" s="28">
        <v>1.71</v>
      </c>
      <c r="AT3" s="28">
        <v>1.97</v>
      </c>
      <c r="AU3" s="28">
        <v>0.21199999999999999</v>
      </c>
      <c r="AV3" s="28">
        <v>4.38</v>
      </c>
      <c r="AW3" s="28">
        <v>11.61</v>
      </c>
      <c r="AX3" s="28">
        <v>14.08</v>
      </c>
      <c r="AY3" s="28">
        <v>19.350000000000001</v>
      </c>
      <c r="AZ3" s="28">
        <v>2.68</v>
      </c>
      <c r="BA3" s="28">
        <v>0.22700000000000001</v>
      </c>
      <c r="BB3" s="28">
        <v>0.25800000000000001</v>
      </c>
      <c r="BC3" s="28">
        <v>10.92</v>
      </c>
      <c r="BD3" s="28">
        <v>1.7</v>
      </c>
      <c r="BE3" s="28">
        <v>4.28</v>
      </c>
      <c r="BF3" s="28">
        <v>0.19500000000000001</v>
      </c>
      <c r="BG3" s="28">
        <v>2.77</v>
      </c>
      <c r="BH3" s="28">
        <v>0.24199999999999999</v>
      </c>
      <c r="BI3" s="33">
        <v>8.6199999999999999E-2</v>
      </c>
      <c r="BJ3" s="33">
        <v>4.33</v>
      </c>
      <c r="BK3" s="28">
        <v>3.31</v>
      </c>
      <c r="BL3" s="28">
        <v>0.22800000000000001</v>
      </c>
      <c r="BM3" s="28">
        <v>6.47</v>
      </c>
      <c r="BN3" s="28">
        <v>4.3600000000000003</v>
      </c>
      <c r="BO3" s="28">
        <v>1.83</v>
      </c>
      <c r="BP3" s="28">
        <v>3.31</v>
      </c>
      <c r="BQ3" s="28">
        <v>1.84</v>
      </c>
      <c r="BR3" s="28">
        <v>2.59</v>
      </c>
      <c r="BS3" s="28">
        <v>0.15947</v>
      </c>
    </row>
    <row r="4" spans="1:71" ht="12" customHeight="1" thickBot="1" x14ac:dyDescent="0.3">
      <c r="A4" s="31"/>
      <c r="B4" s="32" t="s">
        <v>4</v>
      </c>
      <c r="C4" s="33"/>
      <c r="D4" s="33"/>
      <c r="E4" s="29" t="str">
        <f t="shared" ref="E4:E6" si="6">IF(OR(F4="=",F4="≈",F4="—"),"",IF(F4&gt;0,"",IF(F4&lt;0,"","")))</f>
        <v/>
      </c>
      <c r="F4" s="36" t="str">
        <f>IFERROR(IF(C4/D4-1=0,"=",IF(C4/D4-1=-1,"—",IF(OR(AND(C4/D4-1&lt;0.005,C4/D4-1&gt;0), AND(C4/D4-1&lt;0,C4/D4-1&gt;-0.005)),"≈",C4/D4-1))),"—")</f>
        <v>—</v>
      </c>
      <c r="G4" s="33">
        <v>0</v>
      </c>
      <c r="H4" s="3"/>
      <c r="I4" s="3">
        <f t="shared" ref="I4:I17" si="7">SUM(K4:V4)</f>
        <v>0</v>
      </c>
      <c r="J4" s="10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X4" s="14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>
        <v>9.4909999999999997</v>
      </c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 ht="12" customHeight="1" thickBot="1" x14ac:dyDescent="0.3">
      <c r="A5" s="31"/>
      <c r="B5" s="32" t="s">
        <v>41</v>
      </c>
      <c r="C5" s="33"/>
      <c r="D5" s="33"/>
      <c r="E5" s="29" t="str">
        <f t="shared" si="6"/>
        <v/>
      </c>
      <c r="F5" s="36" t="str">
        <f t="shared" ref="F5:F6" si="8">IFERROR(IF(C5/D5-1=0,"=",IF(C5/D5-1=-1,"—",IF(OR(AND(C5/D5-1&lt;0.005,C5/D5-1&gt;0), AND(C5/D5-1&lt;0,C5/D5-1&gt;-0.005)),"≈",C5/D5-1))),"—")</f>
        <v>—</v>
      </c>
      <c r="G5" s="33">
        <v>0</v>
      </c>
      <c r="H5" s="3"/>
      <c r="I5" s="3">
        <f t="shared" si="7"/>
        <v>0</v>
      </c>
      <c r="J5" s="10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X5" s="14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>
        <v>3.27</v>
      </c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 ht="12" customHeight="1" thickBot="1" x14ac:dyDescent="0.3">
      <c r="A6" s="31"/>
      <c r="B6" s="32" t="s">
        <v>62</v>
      </c>
      <c r="C6" s="33"/>
      <c r="D6" s="33"/>
      <c r="E6" s="29" t="str">
        <f t="shared" si="6"/>
        <v/>
      </c>
      <c r="F6" s="36" t="str">
        <f t="shared" si="8"/>
        <v>—</v>
      </c>
      <c r="G6" s="33">
        <v>0</v>
      </c>
      <c r="H6" s="3"/>
      <c r="I6" s="3">
        <f t="shared" si="7"/>
        <v>0</v>
      </c>
      <c r="J6" s="10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14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>
        <v>6.4539999999999997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 ht="12" customHeight="1" thickBot="1" x14ac:dyDescent="0.3">
      <c r="A7" s="31"/>
      <c r="B7" s="32" t="s">
        <v>7</v>
      </c>
      <c r="C7" s="33">
        <v>13.75</v>
      </c>
      <c r="D7" s="33"/>
      <c r="E7" s="29" t="str">
        <f t="shared" si="0"/>
        <v/>
      </c>
      <c r="F7" s="36" t="str">
        <f t="shared" ref="F7:F10" si="9">IFERROR(IF(C7/D7-1=0,"=",IF(C7/D7-1=-1,"—",IF(OR(AND(C7/D7-1&lt;0.005,C7/D7-1&gt;0), AND(C7/D7-1&lt;0,C7/D7-1&gt;-0.005)),"≈",C7/D7-1))),"—")</f>
        <v>—</v>
      </c>
      <c r="G7" s="33">
        <v>13.75</v>
      </c>
      <c r="H7" s="3"/>
      <c r="I7" s="3">
        <f t="shared" si="7"/>
        <v>13.75</v>
      </c>
      <c r="J7" s="10"/>
      <c r="K7" s="33"/>
      <c r="L7" s="33"/>
      <c r="M7" s="33"/>
      <c r="N7" s="33">
        <v>13.75</v>
      </c>
      <c r="O7" s="33"/>
      <c r="P7" s="33"/>
      <c r="Q7" s="33"/>
      <c r="R7" s="33"/>
      <c r="S7" s="33"/>
      <c r="T7" s="33"/>
      <c r="U7" s="33"/>
      <c r="V7" s="33"/>
      <c r="X7" s="14"/>
      <c r="Y7" s="15">
        <v>1.5640000000000001</v>
      </c>
      <c r="Z7" s="15">
        <v>3.0779999999999998</v>
      </c>
      <c r="AA7" s="15">
        <v>2.3370000000000002</v>
      </c>
      <c r="AB7" s="15">
        <v>8.6679999999999993</v>
      </c>
      <c r="AC7" s="15">
        <v>3.25</v>
      </c>
      <c r="AD7" s="15">
        <v>3.0379999999999998</v>
      </c>
      <c r="AE7" s="15"/>
      <c r="AF7" s="15"/>
      <c r="AG7" s="15"/>
      <c r="AH7" s="15"/>
      <c r="AI7" s="15"/>
      <c r="AJ7" s="15"/>
      <c r="AK7" s="15"/>
      <c r="AL7" s="15"/>
      <c r="AM7" s="15"/>
      <c r="AN7" s="33">
        <v>4.6680000000000001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>
        <v>6.3520000000000003</v>
      </c>
      <c r="BN7" s="33"/>
      <c r="BO7" s="33">
        <v>1.6</v>
      </c>
      <c r="BP7" s="33">
        <v>3.1</v>
      </c>
      <c r="BQ7" s="33"/>
      <c r="BR7" s="33"/>
      <c r="BS7" s="33"/>
    </row>
    <row r="8" spans="1:71" ht="12" customHeight="1" thickBot="1" x14ac:dyDescent="0.3">
      <c r="A8" s="31"/>
      <c r="B8" s="32" t="s">
        <v>25</v>
      </c>
      <c r="C8" s="33">
        <v>2.347</v>
      </c>
      <c r="D8" s="33"/>
      <c r="E8" s="29" t="str">
        <f t="shared" si="0"/>
        <v/>
      </c>
      <c r="F8" s="36" t="str">
        <f t="shared" si="9"/>
        <v>—</v>
      </c>
      <c r="G8" s="33">
        <v>4.6980000000000004</v>
      </c>
      <c r="H8" s="3"/>
      <c r="I8" s="3">
        <f t="shared" si="7"/>
        <v>4.6980000000000004</v>
      </c>
      <c r="J8" s="10"/>
      <c r="K8" s="33">
        <v>2.351</v>
      </c>
      <c r="L8" s="33"/>
      <c r="M8" s="33"/>
      <c r="N8" s="33">
        <v>2.347</v>
      </c>
      <c r="O8" s="33"/>
      <c r="P8" s="33"/>
      <c r="Q8" s="33"/>
      <c r="R8" s="33"/>
      <c r="S8" s="33"/>
      <c r="T8" s="33"/>
      <c r="U8" s="33"/>
      <c r="V8" s="33"/>
      <c r="X8" s="14"/>
      <c r="Y8" s="15"/>
      <c r="Z8" s="15"/>
      <c r="AA8" s="15">
        <v>2.3460000000000001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ht="12.75" customHeight="1" thickBot="1" x14ac:dyDescent="0.3">
      <c r="A9" s="31"/>
      <c r="B9" s="32" t="s">
        <v>22</v>
      </c>
      <c r="C9" s="33"/>
      <c r="D9" s="33"/>
      <c r="E9" s="29" t="str">
        <f t="shared" si="0"/>
        <v/>
      </c>
      <c r="F9" s="36" t="str">
        <f t="shared" si="9"/>
        <v>—</v>
      </c>
      <c r="G9" s="33">
        <v>0</v>
      </c>
      <c r="H9" s="3"/>
      <c r="I9" s="3">
        <f t="shared" si="7"/>
        <v>0</v>
      </c>
      <c r="J9" s="10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X9" s="15"/>
      <c r="Y9" s="15"/>
      <c r="Z9" s="15"/>
      <c r="AA9" s="15"/>
      <c r="AB9" s="15">
        <v>3.125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>
        <v>1.679</v>
      </c>
      <c r="AN9" s="33"/>
      <c r="AO9" s="33">
        <v>1.494</v>
      </c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>
        <v>1.599</v>
      </c>
      <c r="BD9" s="33"/>
      <c r="BE9" s="33"/>
      <c r="BF9" s="33"/>
      <c r="BG9" s="33"/>
      <c r="BH9" s="33"/>
      <c r="BI9" s="33"/>
      <c r="BJ9" s="33"/>
      <c r="BK9" s="33">
        <v>3.1619999999999999</v>
      </c>
      <c r="BL9" s="33"/>
      <c r="BM9" s="33"/>
      <c r="BN9" s="33"/>
      <c r="BO9" s="33"/>
      <c r="BP9" s="33"/>
      <c r="BQ9" s="33"/>
      <c r="BR9" s="33"/>
      <c r="BS9" s="33"/>
    </row>
    <row r="10" spans="1:71" ht="12" customHeight="1" thickBot="1" x14ac:dyDescent="0.3">
      <c r="A10" s="31"/>
      <c r="B10" s="32" t="s">
        <v>17</v>
      </c>
      <c r="C10" s="33"/>
      <c r="D10" s="33"/>
      <c r="E10" s="29" t="str">
        <f t="shared" si="0"/>
        <v/>
      </c>
      <c r="F10" s="36" t="str">
        <f t="shared" si="9"/>
        <v>—</v>
      </c>
      <c r="G10" s="33">
        <v>0</v>
      </c>
      <c r="H10" s="18"/>
      <c r="I10" s="3">
        <f t="shared" si="7"/>
        <v>0</v>
      </c>
      <c r="J10" s="10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33"/>
      <c r="AO10" s="33"/>
      <c r="AP10" s="33"/>
      <c r="AQ10" s="33"/>
      <c r="AR10" s="33"/>
      <c r="AS10" s="33"/>
      <c r="AT10" s="33"/>
      <c r="AU10" s="33"/>
      <c r="AV10" s="33"/>
      <c r="AW10" s="33">
        <v>7.1660000000000004</v>
      </c>
      <c r="AX10" s="33">
        <v>4.88</v>
      </c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 ht="12" customHeight="1" thickBot="1" x14ac:dyDescent="0.3">
      <c r="A11" s="31"/>
      <c r="B11" s="32" t="s">
        <v>29</v>
      </c>
      <c r="C11" s="33">
        <v>1.6419999999999999</v>
      </c>
      <c r="D11" s="33"/>
      <c r="E11" s="29" t="str">
        <f t="shared" ref="E11" si="10">IF(OR(F11="=",F11="≈",F11="—"),"",IF(F11&gt;0,"",IF(F11&lt;0,"","")))</f>
        <v/>
      </c>
      <c r="F11" s="36" t="str">
        <f t="shared" ref="F11:F13" si="11">IFERROR(IF(C11/D11-1=0,"=",IF(C11/D11-1=-1,"—",IF(OR(AND(C11/D11-1&lt;0.005,C11/D11-1&gt;0), AND(C11/D11-1&lt;0,C11/D11-1&gt;-0.005)),"≈",C11/D11-1))),"—")</f>
        <v>—</v>
      </c>
      <c r="G11" s="33">
        <v>1.6419999999999999</v>
      </c>
      <c r="H11" s="18"/>
      <c r="I11" s="3">
        <f t="shared" si="7"/>
        <v>1.6419999999999999</v>
      </c>
      <c r="J11" s="10"/>
      <c r="K11" s="33"/>
      <c r="L11" s="33"/>
      <c r="M11" s="33"/>
      <c r="N11" s="33">
        <v>1.6419999999999999</v>
      </c>
      <c r="O11" s="33"/>
      <c r="P11" s="33"/>
      <c r="Q11" s="33"/>
      <c r="R11" s="33"/>
      <c r="S11" s="33"/>
      <c r="T11" s="33"/>
      <c r="U11" s="33"/>
      <c r="V11" s="33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>
        <v>4.8230000000000004</v>
      </c>
      <c r="AM11" s="15">
        <v>1.6</v>
      </c>
      <c r="AN11" s="33">
        <v>1.6279999999999999</v>
      </c>
      <c r="AO11" s="33">
        <v>3.29</v>
      </c>
      <c r="AP11" s="33"/>
      <c r="AQ11" s="33">
        <v>1.641</v>
      </c>
      <c r="AR11" s="33"/>
      <c r="AS11" s="33">
        <v>1.554</v>
      </c>
      <c r="AT11" s="33">
        <v>1.6479999999999999</v>
      </c>
      <c r="AU11" s="33"/>
      <c r="AV11" s="33">
        <v>4.2389999999999999</v>
      </c>
      <c r="AW11" s="33">
        <v>4.2270000000000003</v>
      </c>
      <c r="AX11" s="33">
        <v>2.601</v>
      </c>
      <c r="AY11" s="33"/>
      <c r="AZ11" s="33">
        <v>2.5499999999999998</v>
      </c>
      <c r="BA11" s="33"/>
      <c r="BB11" s="33"/>
      <c r="BC11" s="33">
        <v>9.0939999999999994</v>
      </c>
      <c r="BD11" s="33">
        <v>1.6</v>
      </c>
      <c r="BE11" s="33">
        <v>4.0369999999999999</v>
      </c>
      <c r="BF11" s="33"/>
      <c r="BG11" s="33">
        <v>2.5499999999999998</v>
      </c>
      <c r="BH11" s="33"/>
      <c r="BI11" s="33"/>
      <c r="BJ11" s="33">
        <v>4.1909999999999998</v>
      </c>
      <c r="BK11" s="33"/>
      <c r="BL11" s="33"/>
      <c r="BM11" s="33"/>
      <c r="BN11" s="33">
        <v>4.1539999999999999</v>
      </c>
      <c r="BO11" s="33"/>
      <c r="BP11" s="33"/>
      <c r="BQ11" s="33">
        <v>1.639</v>
      </c>
      <c r="BR11" s="33"/>
      <c r="BS11" s="33"/>
    </row>
    <row r="12" spans="1:71" ht="12" customHeight="1" thickBot="1" x14ac:dyDescent="0.3">
      <c r="A12" s="31"/>
      <c r="B12" s="32" t="s">
        <v>26</v>
      </c>
      <c r="C12" s="33">
        <v>3.0270000000000001</v>
      </c>
      <c r="D12" s="33"/>
      <c r="E12" s="29" t="str">
        <f t="shared" ref="E12" si="12">IF(OR(F12="=",F12="≈",F12="—"),"",IF(F12&gt;0,"",IF(F12&lt;0,"","")))</f>
        <v/>
      </c>
      <c r="F12" s="36" t="str">
        <f t="shared" ref="F12" si="13">IFERROR(IF(C12/D12-1=0,"=",IF(C12/D12-1=-1,"—",IF(OR(AND(C12/D12-1&lt;0.005,C12/D12-1&gt;0), AND(C12/D12-1&lt;0,C12/D12-1&gt;-0.005)),"≈",C12/D12-1))),"—")</f>
        <v>—</v>
      </c>
      <c r="G12" s="33">
        <v>3.0270000000000001</v>
      </c>
      <c r="H12" s="18"/>
      <c r="I12" s="3">
        <f t="shared" ref="I12" si="14">SUM(K12:V12)</f>
        <v>3.0270000000000001</v>
      </c>
      <c r="J12" s="10"/>
      <c r="K12" s="33"/>
      <c r="L12" s="33"/>
      <c r="M12" s="33"/>
      <c r="N12" s="33">
        <v>3.0270000000000001</v>
      </c>
      <c r="O12" s="33"/>
      <c r="P12" s="33"/>
      <c r="Q12" s="33"/>
      <c r="R12" s="33"/>
      <c r="S12" s="33"/>
      <c r="T12" s="33"/>
      <c r="U12" s="33"/>
      <c r="V12" s="33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 ht="12" customHeight="1" thickBot="1" x14ac:dyDescent="0.3">
      <c r="A13" s="31"/>
      <c r="B13" s="32" t="s">
        <v>32</v>
      </c>
      <c r="C13" s="33">
        <v>0.18099999999999999</v>
      </c>
      <c r="D13" s="33">
        <v>0.18099999999999999</v>
      </c>
      <c r="E13" s="29" t="str">
        <f t="shared" si="0"/>
        <v/>
      </c>
      <c r="F13" s="36" t="str">
        <f t="shared" si="11"/>
        <v>=</v>
      </c>
      <c r="G13" s="33">
        <v>1.0010000000000001</v>
      </c>
      <c r="H13" s="18"/>
      <c r="I13" s="3">
        <f t="shared" si="7"/>
        <v>1.0010000000000001</v>
      </c>
      <c r="J13" s="10"/>
      <c r="K13" s="33">
        <v>0.42599999999999999</v>
      </c>
      <c r="L13" s="33">
        <v>0.21299999999999999</v>
      </c>
      <c r="M13" s="33">
        <v>0.18099999999999999</v>
      </c>
      <c r="N13" s="33">
        <v>0.18099999999999999</v>
      </c>
      <c r="O13" s="33"/>
      <c r="P13" s="33"/>
      <c r="Q13" s="33"/>
      <c r="R13" s="33"/>
      <c r="S13" s="33"/>
      <c r="T13" s="33"/>
      <c r="U13" s="33"/>
      <c r="V13" s="33"/>
      <c r="X13" s="15">
        <v>0.1328</v>
      </c>
      <c r="Y13" s="15">
        <v>4.6199999999999998E-2</v>
      </c>
      <c r="Z13" s="15">
        <v>0.16889999999999999</v>
      </c>
      <c r="AA13" s="15">
        <v>0.124</v>
      </c>
      <c r="AB13" s="15">
        <v>0.16689999999999999</v>
      </c>
      <c r="AC13" s="15">
        <v>0.63890000000000002</v>
      </c>
      <c r="AD13" s="15">
        <v>0.29870000000000002</v>
      </c>
      <c r="AE13" s="15">
        <v>0.17080000000000001</v>
      </c>
      <c r="AF13" s="15">
        <v>0.14940000000000001</v>
      </c>
      <c r="AG13" s="15">
        <v>0.17199999999999999</v>
      </c>
      <c r="AH13" s="15">
        <v>0.11899999999999999</v>
      </c>
      <c r="AI13" s="15">
        <v>1.17E-2</v>
      </c>
      <c r="AJ13" s="15">
        <v>9.9000000000000005E-2</v>
      </c>
      <c r="AK13" s="15">
        <v>7.3999999999999996E-2</v>
      </c>
      <c r="AL13" s="15">
        <v>0.111</v>
      </c>
      <c r="AM13" s="15">
        <v>0.17199999999999999</v>
      </c>
      <c r="AN13" s="33">
        <v>0.21210000000000001</v>
      </c>
      <c r="AO13" s="33">
        <v>0.11899999999999999</v>
      </c>
      <c r="AP13" s="33">
        <v>0.23499999999999999</v>
      </c>
      <c r="AQ13" s="33">
        <v>0.19400000000000001</v>
      </c>
      <c r="AR13" s="33">
        <v>0.212864</v>
      </c>
      <c r="AS13" s="33">
        <v>0.157</v>
      </c>
      <c r="AT13" s="33">
        <v>0.32</v>
      </c>
      <c r="AU13" s="33">
        <v>0.21199999999999999</v>
      </c>
      <c r="AV13" s="33">
        <v>0.1368</v>
      </c>
      <c r="AW13" s="33">
        <v>0.22</v>
      </c>
      <c r="AX13" s="33">
        <v>6.6</v>
      </c>
      <c r="AY13" s="33">
        <v>0.13700000000000001</v>
      </c>
      <c r="AZ13" s="33">
        <v>0.13100000000000001</v>
      </c>
      <c r="BA13" s="33">
        <v>0.22700000000000001</v>
      </c>
      <c r="BB13" s="33">
        <v>0.25800000000000001</v>
      </c>
      <c r="BC13" s="33">
        <v>0.22450000000000001</v>
      </c>
      <c r="BD13" s="33">
        <v>0.10299999999999999</v>
      </c>
      <c r="BE13" s="33">
        <v>0.24099999999999999</v>
      </c>
      <c r="BF13" s="33">
        <v>0.19500000000000001</v>
      </c>
      <c r="BG13" s="33">
        <v>0.223</v>
      </c>
      <c r="BH13" s="33">
        <v>0.24199999999999999</v>
      </c>
      <c r="BI13" s="33">
        <v>8.6199999999999999E-2</v>
      </c>
      <c r="BJ13" s="33">
        <v>0.14199999999999999</v>
      </c>
      <c r="BK13" s="33">
        <v>0.14499999999999999</v>
      </c>
      <c r="BL13" s="33">
        <v>0.22800000000000001</v>
      </c>
      <c r="BM13" s="33">
        <v>0.120445</v>
      </c>
      <c r="BN13" s="33">
        <v>0.20200000000000001</v>
      </c>
      <c r="BO13" s="33">
        <v>0.22500000000000001</v>
      </c>
      <c r="BP13" s="33">
        <v>0.20599999999999999</v>
      </c>
      <c r="BQ13" s="33">
        <v>0.1968</v>
      </c>
      <c r="BR13" s="33">
        <v>0.24299999999999999</v>
      </c>
      <c r="BS13" s="33">
        <v>0.15947</v>
      </c>
    </row>
    <row r="14" spans="1:71" x14ac:dyDescent="0.25">
      <c r="I14" s="3">
        <f t="shared" si="7"/>
        <v>0</v>
      </c>
    </row>
    <row r="15" spans="1:71" x14ac:dyDescent="0.25">
      <c r="I15" s="3">
        <f t="shared" si="7"/>
        <v>0</v>
      </c>
    </row>
    <row r="16" spans="1:71" ht="12" customHeight="1" thickBot="1" x14ac:dyDescent="0.3">
      <c r="A16" s="31"/>
      <c r="B16" s="32" t="s">
        <v>6</v>
      </c>
      <c r="C16" s="33"/>
      <c r="D16" s="33"/>
      <c r="E16" s="29" t="str">
        <f t="shared" ref="E16:E17" si="15">IF(OR(F16="=",F16="≈",F16="—"),"",IF(F16&gt;0,"",IF(F16&lt;0,"","")))</f>
        <v/>
      </c>
      <c r="F16" s="36" t="str">
        <f t="shared" ref="F16:F17" si="16">IFERROR(IF(C16/D16-1=0,"=",IF(C16/D16-1=-1,"—",IF(OR(AND(C16/D16-1&lt;0.005,C16/D16-1&gt;0), AND(C16/D16-1&lt;0,C16/D16-1&gt;-0.005)),"≈",C16/D16-1))),"—")</f>
        <v>—</v>
      </c>
      <c r="G16" s="33">
        <v>0</v>
      </c>
      <c r="H16" s="18"/>
      <c r="I16" s="3">
        <f t="shared" si="7"/>
        <v>0</v>
      </c>
      <c r="J16" s="10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X16" s="15"/>
      <c r="Y16" s="15"/>
      <c r="Z16" s="15"/>
      <c r="AA16" s="15"/>
      <c r="AB16" s="15"/>
      <c r="AC16" s="15">
        <v>9.5079999999999991</v>
      </c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</row>
    <row r="17" spans="1:71" ht="12" customHeight="1" thickBot="1" x14ac:dyDescent="0.3">
      <c r="A17" s="31"/>
      <c r="B17" s="32" t="s">
        <v>28</v>
      </c>
      <c r="C17" s="33"/>
      <c r="D17" s="33"/>
      <c r="E17" s="29" t="str">
        <f t="shared" si="15"/>
        <v/>
      </c>
      <c r="F17" s="36" t="str">
        <f t="shared" si="16"/>
        <v>—</v>
      </c>
      <c r="G17" s="33">
        <v>0</v>
      </c>
      <c r="H17" s="18"/>
      <c r="I17" s="3">
        <f t="shared" si="7"/>
        <v>0</v>
      </c>
      <c r="J17" s="10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>
        <v>2.343</v>
      </c>
      <c r="BS17" s="33"/>
    </row>
  </sheetData>
  <mergeCells count="1">
    <mergeCell ref="E1:F1"/>
  </mergeCells>
  <conditionalFormatting sqref="E3 E7:E11 E13">
    <cfRule type="containsText" dxfId="21" priority="13" operator="containsText" text="">
      <formula>NOT(ISERROR(SEARCH("",E3)))</formula>
    </cfRule>
    <cfRule type="containsText" dxfId="20" priority="14" operator="containsText" text="">
      <formula>NOT(ISERROR(SEARCH("",E3)))</formula>
    </cfRule>
  </conditionalFormatting>
  <conditionalFormatting sqref="E16">
    <cfRule type="containsText" dxfId="19" priority="11" operator="containsText" text="">
      <formula>NOT(ISERROR(SEARCH("",E16)))</formula>
    </cfRule>
    <cfRule type="containsText" dxfId="18" priority="12" operator="containsText" text="">
      <formula>NOT(ISERROR(SEARCH("",E16)))</formula>
    </cfRule>
  </conditionalFormatting>
  <conditionalFormatting sqref="E4">
    <cfRule type="containsText" dxfId="17" priority="9" operator="containsText" text="">
      <formula>NOT(ISERROR(SEARCH("",E4)))</formula>
    </cfRule>
    <cfRule type="containsText" dxfId="16" priority="10" operator="containsText" text="">
      <formula>NOT(ISERROR(SEARCH("",E4)))</formula>
    </cfRule>
  </conditionalFormatting>
  <conditionalFormatting sqref="E5">
    <cfRule type="containsText" dxfId="15" priority="7" operator="containsText" text="">
      <formula>NOT(ISERROR(SEARCH("",E5)))</formula>
    </cfRule>
    <cfRule type="containsText" dxfId="14" priority="8" operator="containsText" text="">
      <formula>NOT(ISERROR(SEARCH("",E5)))</formula>
    </cfRule>
  </conditionalFormatting>
  <conditionalFormatting sqref="E6">
    <cfRule type="containsText" dxfId="13" priority="5" operator="containsText" text="">
      <formula>NOT(ISERROR(SEARCH("",E6)))</formula>
    </cfRule>
    <cfRule type="containsText" dxfId="12" priority="6" operator="containsText" text="">
      <formula>NOT(ISERROR(SEARCH("",E6)))</formula>
    </cfRule>
  </conditionalFormatting>
  <conditionalFormatting sqref="E12">
    <cfRule type="containsText" dxfId="11" priority="3" operator="containsText" text="">
      <formula>NOT(ISERROR(SEARCH("",E12)))</formula>
    </cfRule>
    <cfRule type="containsText" dxfId="10" priority="4" operator="containsText" text="">
      <formula>NOT(ISERROR(SEARCH("",E12)))</formula>
    </cfRule>
  </conditionalFormatting>
  <conditionalFormatting sqref="E17">
    <cfRule type="containsText" dxfId="9" priority="1" operator="containsText" text="">
      <formula>NOT(ISERROR(SEARCH("",E17)))</formula>
    </cfRule>
    <cfRule type="containsText" dxfId="8" priority="2" operator="containsText" text="">
      <formula>NOT(ISERROR(SEARCH("",E17)))</formula>
    </cfRule>
  </conditionalFormatting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14"/>
  <sheetViews>
    <sheetView zoomScale="90" zoomScaleNormal="90" workbookViewId="0">
      <selection activeCell="C1" sqref="C1:G1"/>
    </sheetView>
  </sheetViews>
  <sheetFormatPr defaultRowHeight="15" x14ac:dyDescent="0.25"/>
  <cols>
    <col min="2" max="2" width="13.570312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97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52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60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thickBot="1" x14ac:dyDescent="0.3">
      <c r="A2" s="23" t="s">
        <v>3</v>
      </c>
      <c r="B2" s="23"/>
      <c r="C2" s="1"/>
      <c r="D2" s="1"/>
      <c r="E2" s="1"/>
      <c r="F2" s="1"/>
      <c r="G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s="10" customFormat="1" ht="12" customHeight="1" thickBot="1" x14ac:dyDescent="0.3">
      <c r="A3" s="26" t="s">
        <v>22</v>
      </c>
      <c r="B3" s="34"/>
      <c r="C3" s="28">
        <v>15.741</v>
      </c>
      <c r="D3" s="28">
        <v>9.3789999999999996</v>
      </c>
      <c r="E3" s="29" t="str">
        <f t="shared" ref="E3:E6" si="0">IF(OR(F3="=",F3="≈",F3="—"),"",IF(F3&gt;0,"",IF(F3&lt;0,"","")))</f>
        <v></v>
      </c>
      <c r="F3" s="36">
        <f t="shared" ref="F3:F4" si="1">IFERROR(IF(C3/D3-1=0,"=",IF(C3/D3-1=-1,"—",IF(OR(AND(C3/D3-1&lt;0.005,C3/D3-1&gt;0), AND(C3/D3-1&lt;0,C3/D3-1&gt;-0.005)),"≈",C3/D3-1))),"—")</f>
        <v>0.67832391512954482</v>
      </c>
      <c r="G3" s="28">
        <v>45.138999999999996</v>
      </c>
      <c r="H3" s="18"/>
      <c r="I3" s="18">
        <f>SUM(K3:V3)</f>
        <v>45.138999999999996</v>
      </c>
      <c r="K3" s="28">
        <v>5.5410000000000004</v>
      </c>
      <c r="L3" s="28">
        <v>14.478</v>
      </c>
      <c r="M3" s="28">
        <v>9.3789999999999996</v>
      </c>
      <c r="N3" s="28">
        <v>15.741</v>
      </c>
      <c r="O3" s="28"/>
      <c r="P3" s="28"/>
      <c r="Q3" s="28"/>
      <c r="R3" s="28"/>
      <c r="S3" s="28"/>
      <c r="T3" s="28"/>
      <c r="U3" s="28"/>
      <c r="V3" s="28"/>
      <c r="X3" s="11">
        <f>SUM(X4:X6)</f>
        <v>7.66</v>
      </c>
      <c r="Y3" s="11">
        <f t="shared" ref="Y3:AD3" si="2">SUM(Y4:Y6)</f>
        <v>9.7880000000000003</v>
      </c>
      <c r="Z3" s="11">
        <f t="shared" si="2"/>
        <v>22.186000000000003</v>
      </c>
      <c r="AA3" s="11">
        <f t="shared" si="2"/>
        <v>24.568000000000001</v>
      </c>
      <c r="AB3" s="11">
        <f t="shared" si="2"/>
        <v>5.4210000000000003</v>
      </c>
      <c r="AC3" s="11">
        <f t="shared" si="2"/>
        <v>3.2149999999999999</v>
      </c>
      <c r="AD3" s="11">
        <f t="shared" si="2"/>
        <v>12.311</v>
      </c>
      <c r="AE3" s="11">
        <f>SUM(AE4:AE6)</f>
        <v>37.116</v>
      </c>
      <c r="AF3" s="11">
        <f>SUM(AF4:AF6)</f>
        <v>14.965</v>
      </c>
      <c r="AG3" s="11">
        <f t="shared" ref="AG3:AL3" si="3">SUM(AG4:AG7)</f>
        <v>1.8280000000000001</v>
      </c>
      <c r="AH3" s="11">
        <f t="shared" si="3"/>
        <v>0.224</v>
      </c>
      <c r="AI3" s="11">
        <f t="shared" si="3"/>
        <v>1.758</v>
      </c>
      <c r="AJ3" s="11">
        <f t="shared" si="3"/>
        <v>6.3529999999999998</v>
      </c>
      <c r="AK3" s="11">
        <f t="shared" si="3"/>
        <v>1.633</v>
      </c>
      <c r="AL3" s="11">
        <f t="shared" si="3"/>
        <v>1.581</v>
      </c>
      <c r="AM3" s="11">
        <v>11.66</v>
      </c>
      <c r="AN3" s="28">
        <v>8.6829999999999998</v>
      </c>
      <c r="AO3" s="28">
        <v>3.1989999999999998</v>
      </c>
      <c r="AP3" s="28">
        <v>6.8234339999999998</v>
      </c>
      <c r="AQ3" s="28">
        <v>1.63</v>
      </c>
      <c r="AR3" s="28">
        <v>3.1946140000000001</v>
      </c>
      <c r="AS3" s="28">
        <v>3.2410000000000001</v>
      </c>
      <c r="AT3" s="28">
        <v>6.0000000000000001E-3</v>
      </c>
      <c r="AU3" s="28">
        <v>8.6E-3</v>
      </c>
      <c r="AV3" s="28">
        <v>1.609</v>
      </c>
      <c r="AW3" s="28">
        <v>3.0000000000000001E-3</v>
      </c>
      <c r="AX3" s="28">
        <v>0.83</v>
      </c>
      <c r="AY3" s="28">
        <v>14.246</v>
      </c>
      <c r="AZ3" s="28">
        <v>1.5620000000000001</v>
      </c>
      <c r="BA3" s="28">
        <v>3.1970000000000001</v>
      </c>
      <c r="BB3" s="28">
        <v>17.62</v>
      </c>
      <c r="BC3" s="28">
        <v>16.388999999999999</v>
      </c>
      <c r="BD3" s="28">
        <v>11.089</v>
      </c>
      <c r="BE3" s="28">
        <v>17.687999999999999</v>
      </c>
      <c r="BF3" s="28">
        <v>8.0190000000000001</v>
      </c>
      <c r="BG3" s="28">
        <v>4.84</v>
      </c>
      <c r="BH3" s="28">
        <v>9.68</v>
      </c>
      <c r="BI3" s="28">
        <v>6.4980000000000002</v>
      </c>
      <c r="BJ3" s="28">
        <v>8.14</v>
      </c>
      <c r="BK3" s="28">
        <v>14.32</v>
      </c>
      <c r="BL3" s="28">
        <v>16.04</v>
      </c>
      <c r="BM3" s="28">
        <v>6.2130000000000001</v>
      </c>
      <c r="BN3" s="28">
        <v>10.88</v>
      </c>
      <c r="BO3" s="28">
        <v>7.7</v>
      </c>
      <c r="BP3" s="28">
        <v>14.044</v>
      </c>
      <c r="BQ3" s="28">
        <v>17.161000000000001</v>
      </c>
      <c r="BR3" s="28">
        <v>6.3079999999999998</v>
      </c>
      <c r="BS3" s="28">
        <v>6.12</v>
      </c>
    </row>
    <row r="4" spans="1:71" s="10" customFormat="1" ht="12" customHeight="1" thickBot="1" x14ac:dyDescent="0.3">
      <c r="A4" s="26"/>
      <c r="B4" s="32" t="s">
        <v>7</v>
      </c>
      <c r="C4" s="33">
        <v>15.741</v>
      </c>
      <c r="D4" s="33">
        <v>9.3789999999999996</v>
      </c>
      <c r="E4" s="29" t="str">
        <f t="shared" si="0"/>
        <v></v>
      </c>
      <c r="F4" s="36">
        <f t="shared" si="1"/>
        <v>0.67832391512954482</v>
      </c>
      <c r="G4" s="33">
        <v>45.138999999999996</v>
      </c>
      <c r="H4" s="18"/>
      <c r="I4" s="18">
        <f t="shared" ref="I4:I7" si="4">SUM(K4:V4)</f>
        <v>45.138999999999996</v>
      </c>
      <c r="K4" s="33">
        <v>5.5410000000000004</v>
      </c>
      <c r="L4" s="33">
        <v>14.478</v>
      </c>
      <c r="M4" s="33">
        <v>9.3789999999999996</v>
      </c>
      <c r="N4" s="33">
        <v>15.741</v>
      </c>
      <c r="O4" s="33"/>
      <c r="P4" s="33"/>
      <c r="Q4" s="33"/>
      <c r="R4" s="33"/>
      <c r="S4" s="33"/>
      <c r="T4" s="33"/>
      <c r="U4" s="33"/>
      <c r="V4" s="33"/>
      <c r="X4" s="12">
        <v>7.65</v>
      </c>
      <c r="Y4" s="12">
        <v>9.7880000000000003</v>
      </c>
      <c r="Z4" s="12">
        <v>20.539000000000001</v>
      </c>
      <c r="AA4" s="12">
        <v>23.062999999999999</v>
      </c>
      <c r="AB4" s="12">
        <v>5.4210000000000003</v>
      </c>
      <c r="AC4" s="12">
        <v>3.2050000000000001</v>
      </c>
      <c r="AD4" s="12">
        <v>12.301</v>
      </c>
      <c r="AE4" s="12">
        <v>30.841000000000001</v>
      </c>
      <c r="AF4" s="12">
        <v>10.862</v>
      </c>
      <c r="AG4" s="12">
        <v>1.5980000000000001</v>
      </c>
      <c r="AH4" s="12">
        <v>0.11</v>
      </c>
      <c r="AI4" s="12">
        <v>1.5580000000000001</v>
      </c>
      <c r="AJ4" s="12">
        <v>6.343</v>
      </c>
      <c r="AK4" s="12">
        <v>1.623</v>
      </c>
      <c r="AL4" s="12">
        <v>1.5609999999999999</v>
      </c>
      <c r="AM4" s="12">
        <v>9.9700000000000006</v>
      </c>
      <c r="AN4" s="35">
        <v>7.1959999999999997</v>
      </c>
      <c r="AO4" s="35">
        <v>3.1989999999999998</v>
      </c>
      <c r="AP4" s="35">
        <v>6.8129999999999997</v>
      </c>
      <c r="AQ4" s="35">
        <v>1.63</v>
      </c>
      <c r="AR4" s="35">
        <v>3.1940979999999999</v>
      </c>
      <c r="AS4" s="35">
        <v>3.2290000000000001</v>
      </c>
      <c r="AT4" s="35">
        <v>6.0000000000000001E-3</v>
      </c>
      <c r="AU4" s="35">
        <v>8.6E-3</v>
      </c>
      <c r="AV4" s="35">
        <v>1.609</v>
      </c>
      <c r="AW4" s="35">
        <v>3.0000000000000001E-3</v>
      </c>
      <c r="AX4" s="35">
        <v>0.81699999999999995</v>
      </c>
      <c r="AY4" s="35">
        <v>14.246</v>
      </c>
      <c r="AZ4" s="35">
        <v>1.5620000000000001</v>
      </c>
      <c r="BA4" s="35">
        <v>3.1970000000000001</v>
      </c>
      <c r="BB4" s="33">
        <v>16</v>
      </c>
      <c r="BC4" s="33">
        <v>16.388999999999999</v>
      </c>
      <c r="BD4" s="33">
        <v>11.089</v>
      </c>
      <c r="BE4" s="33">
        <v>17.687999999999999</v>
      </c>
      <c r="BF4" s="33">
        <v>8.0190000000000001</v>
      </c>
      <c r="BG4" s="33">
        <v>4.83</v>
      </c>
      <c r="BH4" s="33">
        <v>9.6709999999999994</v>
      </c>
      <c r="BI4" s="33">
        <v>6.4980000000000002</v>
      </c>
      <c r="BJ4" s="33">
        <v>8.1080000000000005</v>
      </c>
      <c r="BK4" s="33">
        <v>12.737</v>
      </c>
      <c r="BL4" s="33">
        <v>14.47</v>
      </c>
      <c r="BM4" s="33">
        <v>6.2130000000000001</v>
      </c>
      <c r="BN4" s="33">
        <v>10.88</v>
      </c>
      <c r="BO4" s="33">
        <v>7.7</v>
      </c>
      <c r="BP4" s="33">
        <v>14.044</v>
      </c>
      <c r="BQ4" s="33">
        <v>17.161000000000001</v>
      </c>
      <c r="BR4" s="33">
        <v>6.3079999999999998</v>
      </c>
      <c r="BS4" s="33">
        <v>6.12</v>
      </c>
    </row>
    <row r="5" spans="1:71" s="10" customFormat="1" ht="12" customHeight="1" thickBot="1" x14ac:dyDescent="0.3">
      <c r="A5" s="31"/>
      <c r="B5" s="32" t="s">
        <v>9</v>
      </c>
      <c r="C5" s="33"/>
      <c r="D5" s="33"/>
      <c r="E5" s="29" t="str">
        <f t="shared" si="0"/>
        <v/>
      </c>
      <c r="F5" s="36" t="str">
        <f>IFERROR(IF(C5/D5-1=0,"=",IF(C5/D5-1=-1,"—",IF(OR(AND(C5/D5-1&lt;0.005,C5/D5-1&gt;0), AND(C5/D5-1&lt;0,C5/D5-1&gt;-0.005)),"≈",C5/D5-1))),"—")</f>
        <v>—</v>
      </c>
      <c r="G5" s="33">
        <v>0</v>
      </c>
      <c r="H5" s="18"/>
      <c r="I5" s="18">
        <f t="shared" si="4"/>
        <v>0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X5" s="12">
        <v>0.01</v>
      </c>
      <c r="Y5" s="12"/>
      <c r="Z5" s="12">
        <v>0.01</v>
      </c>
      <c r="AA5" s="12">
        <v>0.01</v>
      </c>
      <c r="AB5" s="12"/>
      <c r="AC5" s="12">
        <v>0.01</v>
      </c>
      <c r="AD5" s="12">
        <v>0.01</v>
      </c>
      <c r="AE5" s="12">
        <v>6.2750000000000004</v>
      </c>
      <c r="AF5" s="12">
        <v>4.1029999999999998</v>
      </c>
      <c r="AG5" s="12">
        <v>0.20799999999999999</v>
      </c>
      <c r="AH5" s="12">
        <v>0.104</v>
      </c>
      <c r="AI5" s="12">
        <v>0.2</v>
      </c>
      <c r="AJ5" s="12">
        <v>0.01</v>
      </c>
      <c r="AK5" s="12"/>
      <c r="AL5" s="12">
        <v>0.02</v>
      </c>
      <c r="AM5" s="12">
        <v>0.01</v>
      </c>
      <c r="AN5" s="33"/>
      <c r="AO5" s="33"/>
      <c r="AP5" s="33">
        <v>1.04E-2</v>
      </c>
      <c r="AQ5" s="33"/>
      <c r="AR5" s="33"/>
      <c r="AS5" s="33">
        <v>1.04E-2</v>
      </c>
      <c r="AT5" s="33"/>
      <c r="AU5" s="33"/>
      <c r="AV5" s="33"/>
      <c r="AW5" s="33"/>
      <c r="AX5" s="33">
        <v>0.01</v>
      </c>
      <c r="AY5" s="33"/>
      <c r="AZ5" s="33"/>
      <c r="BA5" s="33"/>
      <c r="BB5" s="33">
        <v>3.1E-2</v>
      </c>
      <c r="BC5" s="33"/>
      <c r="BD5" s="33"/>
      <c r="BE5" s="33"/>
      <c r="BF5" s="33"/>
      <c r="BG5" s="33">
        <v>1.027E-2</v>
      </c>
      <c r="BH5" s="33">
        <v>1.027E-2</v>
      </c>
      <c r="BI5" s="33"/>
      <c r="BJ5" s="33">
        <v>0.03</v>
      </c>
      <c r="BK5" s="33"/>
      <c r="BL5" s="33"/>
      <c r="BM5" s="33"/>
      <c r="BN5" s="33"/>
      <c r="BO5" s="33"/>
      <c r="BP5" s="33"/>
      <c r="BQ5" s="33"/>
      <c r="BR5" s="33"/>
      <c r="BS5" s="33"/>
    </row>
    <row r="6" spans="1:71" s="10" customFormat="1" ht="12" customHeight="1" thickBot="1" x14ac:dyDescent="0.3">
      <c r="A6" s="31"/>
      <c r="B6" s="32" t="s">
        <v>8</v>
      </c>
      <c r="C6" s="33"/>
      <c r="D6" s="33"/>
      <c r="E6" s="29" t="str">
        <f t="shared" si="0"/>
        <v/>
      </c>
      <c r="F6" s="36" t="str">
        <f t="shared" ref="F6" si="5">IFERROR(IF(C6/D6-1=0,"=",IF(C6/D6-1=-1,"—",IF(OR(AND(C6/D6-1&lt;0.005,C6/D6-1&gt;0), AND(C6/D6-1&lt;0,C6/D6-1&gt;-0.005)),"≈",C6/D6-1))),"—")</f>
        <v>—</v>
      </c>
      <c r="G6" s="33">
        <v>0</v>
      </c>
      <c r="H6" s="18"/>
      <c r="I6" s="18">
        <f t="shared" si="4"/>
        <v>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13"/>
      <c r="Y6" s="13"/>
      <c r="Z6" s="13">
        <v>1.637</v>
      </c>
      <c r="AA6" s="13">
        <v>1.4950000000000001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>
        <v>1.68</v>
      </c>
      <c r="AN6" s="33">
        <v>1.4850000000000001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>
        <v>1.591</v>
      </c>
      <c r="BC6" s="33"/>
      <c r="BD6" s="33"/>
      <c r="BE6" s="33"/>
      <c r="BF6" s="33"/>
      <c r="BG6" s="33"/>
      <c r="BH6" s="33"/>
      <c r="BI6" s="33"/>
      <c r="BJ6" s="33"/>
      <c r="BK6" s="33">
        <v>1.5840000000000001</v>
      </c>
      <c r="BL6" s="33">
        <v>1.5669999999999999</v>
      </c>
      <c r="BM6" s="33"/>
      <c r="BN6" s="33"/>
      <c r="BO6" s="33"/>
      <c r="BP6" s="33"/>
      <c r="BQ6" s="33"/>
      <c r="BR6" s="33"/>
      <c r="BS6" s="33"/>
    </row>
    <row r="7" spans="1:71" ht="12" customHeight="1" thickBot="1" x14ac:dyDescent="0.3">
      <c r="A7" s="31"/>
      <c r="B7" s="32" t="s">
        <v>18</v>
      </c>
      <c r="C7" s="33"/>
      <c r="D7" s="33"/>
      <c r="E7" s="29" t="str">
        <f t="shared" ref="E7" si="6">IF(OR(F7="=",F7="≈",F7="—"),"",IF(F7&gt;0,"",IF(F7&lt;0,"","")))</f>
        <v/>
      </c>
      <c r="F7" s="36" t="str">
        <f t="shared" ref="F7" si="7">IFERROR(IF(C7/D7-1=0,"=",IF(C7/D7-1=-1,"—",IF(OR(AND(C7/D7-1&lt;0.005,C7/D7-1&gt;0), AND(C7/D7-1&lt;0,C7/D7-1&gt;-0.005)),"≈",C7/D7-1))),"—")</f>
        <v>—</v>
      </c>
      <c r="G7" s="33">
        <v>0</v>
      </c>
      <c r="H7" s="18"/>
      <c r="I7" s="18">
        <f t="shared" si="4"/>
        <v>0</v>
      </c>
      <c r="J7" s="10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X7" s="13"/>
      <c r="Y7" s="13"/>
      <c r="Z7" s="13"/>
      <c r="AA7" s="13"/>
      <c r="AB7" s="13"/>
      <c r="AC7" s="13"/>
      <c r="AD7" s="13"/>
      <c r="AE7" s="13"/>
      <c r="AF7" s="13"/>
      <c r="AG7" s="13">
        <v>2.1999999999999999E-2</v>
      </c>
      <c r="AH7" s="13">
        <v>0.01</v>
      </c>
      <c r="AI7" s="13"/>
      <c r="AJ7" s="13"/>
      <c r="AK7" s="13">
        <v>0.01</v>
      </c>
      <c r="AL7" s="13"/>
      <c r="AM7" s="13"/>
      <c r="AN7" s="33">
        <v>1.7279999999999999E-3</v>
      </c>
      <c r="AO7" s="33"/>
      <c r="AP7" s="33"/>
      <c r="AQ7" s="33">
        <v>3.6900000000000001E-3</v>
      </c>
      <c r="AR7" s="33">
        <v>5.1599999999999997E-4</v>
      </c>
      <c r="AS7" s="33">
        <v>1.0319999999999999E-3</v>
      </c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>
        <v>3.7450000000000001E-3</v>
      </c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x14ac:dyDescent="0.25">
      <c r="E8" s="17"/>
    </row>
    <row r="9" spans="1:71" x14ac:dyDescent="0.25">
      <c r="E9" s="17"/>
    </row>
    <row r="10" spans="1:71" x14ac:dyDescent="0.25">
      <c r="E10" s="17"/>
    </row>
    <row r="11" spans="1:71" x14ac:dyDescent="0.25">
      <c r="E11" s="17"/>
    </row>
    <row r="12" spans="1:71" x14ac:dyDescent="0.25">
      <c r="E12" s="17"/>
    </row>
    <row r="14" spans="1:71" x14ac:dyDescent="0.25">
      <c r="I14" t="s">
        <v>66</v>
      </c>
    </row>
  </sheetData>
  <mergeCells count="1">
    <mergeCell ref="E1:F1"/>
  </mergeCells>
  <conditionalFormatting sqref="E3:E7">
    <cfRule type="containsText" dxfId="7" priority="1" operator="containsText" text="">
      <formula>NOT(ISERROR(SEARCH("",E3)))</formula>
    </cfRule>
    <cfRule type="containsText" dxfId="6" priority="2" operator="containsText" text="">
      <formula>NOT(ISERROR(SEARCH("",E3)))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S8"/>
  <sheetViews>
    <sheetView zoomScale="90" zoomScaleNormal="90" workbookViewId="0">
      <selection activeCell="G3" sqref="G3:G8"/>
    </sheetView>
  </sheetViews>
  <sheetFormatPr defaultRowHeight="15" x14ac:dyDescent="0.25"/>
  <cols>
    <col min="2" max="2" width="13.42578125" customWidth="1"/>
    <col min="3" max="4" width="10.85546875" customWidth="1"/>
    <col min="11" max="22" width="10.85546875" customWidth="1"/>
    <col min="29" max="29" width="10.85546875" customWidth="1"/>
    <col min="36" max="50" width="10.85546875" customWidth="1"/>
    <col min="64" max="71" width="10.85546875" customWidth="1"/>
  </cols>
  <sheetData>
    <row r="1" spans="1:71" ht="12" customHeight="1" x14ac:dyDescent="0.25">
      <c r="A1" s="37"/>
      <c r="B1" s="37" t="s">
        <v>0</v>
      </c>
      <c r="C1" s="38" t="s">
        <v>88</v>
      </c>
      <c r="D1" s="38" t="s">
        <v>87</v>
      </c>
      <c r="E1" s="48" t="s">
        <v>2</v>
      </c>
      <c r="F1" s="48"/>
      <c r="G1" s="38" t="s">
        <v>97</v>
      </c>
      <c r="K1" s="38" t="s">
        <v>85</v>
      </c>
      <c r="L1" s="38" t="s">
        <v>86</v>
      </c>
      <c r="M1" s="38" t="s">
        <v>87</v>
      </c>
      <c r="N1" s="38" t="s">
        <v>88</v>
      </c>
      <c r="O1" s="38" t="s">
        <v>89</v>
      </c>
      <c r="P1" s="38" t="s">
        <v>90</v>
      </c>
      <c r="Q1" s="38" t="s">
        <v>91</v>
      </c>
      <c r="R1" s="38" t="s">
        <v>92</v>
      </c>
      <c r="S1" s="38" t="s">
        <v>93</v>
      </c>
      <c r="T1" s="38" t="s">
        <v>94</v>
      </c>
      <c r="U1" s="38" t="s">
        <v>95</v>
      </c>
      <c r="V1" s="38" t="s">
        <v>96</v>
      </c>
      <c r="X1" s="38" t="s">
        <v>10</v>
      </c>
      <c r="Y1" s="38" t="s">
        <v>11</v>
      </c>
      <c r="Z1" s="38" t="s">
        <v>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43</v>
      </c>
      <c r="AL1" s="38" t="s">
        <v>45</v>
      </c>
      <c r="AM1" s="38" t="s">
        <v>46</v>
      </c>
      <c r="AN1" s="38" t="s">
        <v>47</v>
      </c>
      <c r="AO1" s="38" t="s">
        <v>48</v>
      </c>
      <c r="AP1" s="38" t="s">
        <v>49</v>
      </c>
      <c r="AQ1" s="38" t="s">
        <v>50</v>
      </c>
      <c r="AR1" s="38" t="s">
        <v>52</v>
      </c>
      <c r="AS1" s="38" t="s">
        <v>53</v>
      </c>
      <c r="AT1" s="38" t="s">
        <v>54</v>
      </c>
      <c r="AU1" s="38" t="s">
        <v>55</v>
      </c>
      <c r="AV1" s="38" t="s">
        <v>56</v>
      </c>
      <c r="AW1" s="38" t="s">
        <v>58</v>
      </c>
      <c r="AX1" s="38" t="s">
        <v>60</v>
      </c>
      <c r="AY1" s="38" t="s">
        <v>61</v>
      </c>
      <c r="AZ1" s="38" t="s">
        <v>63</v>
      </c>
      <c r="BA1" s="38" t="s">
        <v>64</v>
      </c>
      <c r="BB1" s="38" t="s">
        <v>65</v>
      </c>
      <c r="BC1" s="38" t="s">
        <v>67</v>
      </c>
      <c r="BD1" s="38" t="s">
        <v>68</v>
      </c>
      <c r="BE1" s="38" t="s">
        <v>69</v>
      </c>
      <c r="BF1" s="38" t="s">
        <v>71</v>
      </c>
      <c r="BG1" s="38" t="s">
        <v>72</v>
      </c>
      <c r="BH1" s="38" t="s">
        <v>73</v>
      </c>
      <c r="BI1" s="38" t="s">
        <v>74</v>
      </c>
      <c r="BJ1" s="38" t="s">
        <v>75</v>
      </c>
      <c r="BK1" s="38" t="s">
        <v>76</v>
      </c>
      <c r="BL1" s="38" t="s">
        <v>77</v>
      </c>
      <c r="BM1" s="38" t="s">
        <v>78</v>
      </c>
      <c r="BN1" s="38" t="s">
        <v>79</v>
      </c>
      <c r="BO1" s="38" t="s">
        <v>80</v>
      </c>
      <c r="BP1" s="38" t="s">
        <v>81</v>
      </c>
      <c r="BQ1" s="38" t="s">
        <v>82</v>
      </c>
      <c r="BR1" s="38" t="s">
        <v>83</v>
      </c>
      <c r="BS1" s="38" t="s">
        <v>84</v>
      </c>
    </row>
    <row r="2" spans="1:71" ht="12" customHeight="1" x14ac:dyDescent="0.25">
      <c r="A2" s="41" t="s">
        <v>3</v>
      </c>
      <c r="B2" s="41"/>
      <c r="C2" s="41"/>
      <c r="D2" s="41"/>
      <c r="E2" s="42"/>
      <c r="F2" s="42"/>
      <c r="G2" s="42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</row>
    <row r="3" spans="1:71" ht="12" customHeight="1" thickBot="1" x14ac:dyDescent="0.3">
      <c r="A3" s="26" t="s">
        <v>22</v>
      </c>
      <c r="B3" s="32"/>
      <c r="C3" s="28">
        <v>11.94</v>
      </c>
      <c r="D3" s="28">
        <v>46.02</v>
      </c>
      <c r="E3" s="29" t="str">
        <f t="shared" ref="E3:E6" si="0">IF(OR(F3="=",F3="≈",F3="—"),"",IF(F3&gt;0,"",IF(F3&lt;0,"","")))</f>
        <v></v>
      </c>
      <c r="F3" s="30">
        <f t="shared" ref="F3:F6" si="1">IFERROR(IF(C3/D3-1=0,"=",IF(C3/D3-1=-1,"—",IF(OR(AND(C3/D3-1&lt;0.005,C3/D3-1&gt;0), AND(C3/D3-1&lt;0,C3/D3-1&gt;-0.005)),"≈",C3/D3-1))),"—")</f>
        <v>-0.74054758800521514</v>
      </c>
      <c r="G3" s="28">
        <v>160.58000000000001</v>
      </c>
      <c r="H3" s="3"/>
      <c r="I3" s="3">
        <f>SUM(K3:V3)</f>
        <v>160.58000000000001</v>
      </c>
      <c r="J3" s="10"/>
      <c r="K3" s="28">
        <v>53.73</v>
      </c>
      <c r="L3" s="28">
        <v>48.89</v>
      </c>
      <c r="M3" s="28">
        <v>46.02</v>
      </c>
      <c r="N3" s="28">
        <v>11.94</v>
      </c>
      <c r="O3" s="28"/>
      <c r="P3" s="28"/>
      <c r="Q3" s="28"/>
      <c r="R3" s="28"/>
      <c r="S3" s="28"/>
      <c r="T3" s="28"/>
      <c r="U3" s="28"/>
      <c r="V3" s="28"/>
      <c r="X3" s="16">
        <f t="shared" ref="X3:AD3" si="2">SUM(X4:X7)</f>
        <v>58.318000000000005</v>
      </c>
      <c r="Y3" s="16">
        <f t="shared" si="2"/>
        <v>54.921999999999997</v>
      </c>
      <c r="Z3" s="16">
        <f t="shared" si="2"/>
        <v>39.368000000000002</v>
      </c>
      <c r="AA3" s="16">
        <f t="shared" si="2"/>
        <v>15.430999999999999</v>
      </c>
      <c r="AB3" s="16">
        <f t="shared" si="2"/>
        <v>26.097000000000001</v>
      </c>
      <c r="AC3" s="16">
        <f t="shared" si="2"/>
        <v>56.278999999999996</v>
      </c>
      <c r="AD3" s="16">
        <f t="shared" si="2"/>
        <v>54.356000000000002</v>
      </c>
      <c r="AE3" s="16">
        <f t="shared" ref="AE3:AJ3" si="3">SUM(AE4:AE7)</f>
        <v>43.670999999999999</v>
      </c>
      <c r="AF3" s="16">
        <f t="shared" si="3"/>
        <v>27.431000000000001</v>
      </c>
      <c r="AG3" s="16">
        <f t="shared" si="3"/>
        <v>49.573</v>
      </c>
      <c r="AH3" s="16">
        <f t="shared" si="3"/>
        <v>57.256</v>
      </c>
      <c r="AI3" s="16">
        <f t="shared" si="3"/>
        <v>55.704999999999998</v>
      </c>
      <c r="AJ3" s="16">
        <f t="shared" si="3"/>
        <v>48.56</v>
      </c>
      <c r="AK3" s="16">
        <f t="shared" ref="AK3:AL3" si="4">SUM(AK4:AK7)</f>
        <v>54.763000000000005</v>
      </c>
      <c r="AL3" s="16">
        <f t="shared" si="4"/>
        <v>87.952999999999989</v>
      </c>
      <c r="AM3" s="16">
        <v>50.15</v>
      </c>
      <c r="AN3" s="28">
        <v>36.898000000000003</v>
      </c>
      <c r="AO3" s="28">
        <v>43.44</v>
      </c>
      <c r="AP3" s="28">
        <v>48.259</v>
      </c>
      <c r="AQ3" s="28">
        <v>48.259</v>
      </c>
      <c r="AR3" s="28">
        <v>49.652000000000001</v>
      </c>
      <c r="AS3" s="28">
        <v>56.2</v>
      </c>
      <c r="AT3" s="28">
        <v>45.14</v>
      </c>
      <c r="AU3" s="28">
        <v>48.36</v>
      </c>
      <c r="AV3" s="28">
        <v>48.19</v>
      </c>
      <c r="AW3" s="28">
        <v>48.47</v>
      </c>
      <c r="AX3" s="28">
        <v>54.9</v>
      </c>
      <c r="AY3" s="28">
        <v>35.119999999999997</v>
      </c>
      <c r="AZ3" s="28">
        <v>44.28</v>
      </c>
      <c r="BA3" s="28">
        <v>53.23</v>
      </c>
      <c r="BB3" s="28">
        <v>45.82</v>
      </c>
      <c r="BC3" s="28">
        <v>29.17</v>
      </c>
      <c r="BD3" s="28">
        <v>41.16</v>
      </c>
      <c r="BE3" s="28">
        <v>52.17</v>
      </c>
      <c r="BF3" s="28">
        <v>58.49</v>
      </c>
      <c r="BG3" s="28">
        <v>57.2</v>
      </c>
      <c r="BH3" s="28">
        <v>50.79</v>
      </c>
      <c r="BI3" s="28">
        <v>61.478000000000002</v>
      </c>
      <c r="BJ3" s="28">
        <v>56.97</v>
      </c>
      <c r="BK3" s="28">
        <v>45.92</v>
      </c>
      <c r="BL3" s="28">
        <v>39.49</v>
      </c>
      <c r="BM3" s="28">
        <v>49.46</v>
      </c>
      <c r="BN3" s="28">
        <v>48.62</v>
      </c>
      <c r="BO3" s="28">
        <v>45.95</v>
      </c>
      <c r="BP3" s="28">
        <v>52.79</v>
      </c>
      <c r="BQ3" s="28">
        <v>52.4</v>
      </c>
      <c r="BR3" s="28">
        <v>42.39</v>
      </c>
      <c r="BS3" s="28">
        <v>67.39</v>
      </c>
    </row>
    <row r="4" spans="1:71" ht="12" customHeight="1" thickBot="1" x14ac:dyDescent="0.3">
      <c r="A4" s="31"/>
      <c r="B4" s="32" t="s">
        <v>7</v>
      </c>
      <c r="C4" s="33">
        <v>5.6529999999999996</v>
      </c>
      <c r="D4" s="33">
        <v>25.518999999999998</v>
      </c>
      <c r="E4" s="29" t="str">
        <f t="shared" si="0"/>
        <v></v>
      </c>
      <c r="F4" s="36">
        <f t="shared" si="1"/>
        <v>-0.7784787805164779</v>
      </c>
      <c r="G4" s="33">
        <v>99.555000000000021</v>
      </c>
      <c r="H4" s="3"/>
      <c r="I4" s="3">
        <f t="shared" ref="I4:I8" si="5">SUM(K4:V4)</f>
        <v>99.555000000000021</v>
      </c>
      <c r="J4" s="10"/>
      <c r="K4" s="33">
        <v>37.218000000000004</v>
      </c>
      <c r="L4" s="33">
        <v>31.164999999999999</v>
      </c>
      <c r="M4" s="33">
        <v>25.518999999999998</v>
      </c>
      <c r="N4" s="33">
        <v>5.6529999999999996</v>
      </c>
      <c r="O4" s="33"/>
      <c r="P4" s="33"/>
      <c r="Q4" s="33"/>
      <c r="R4" s="33"/>
      <c r="S4" s="33"/>
      <c r="T4" s="33"/>
      <c r="U4" s="33"/>
      <c r="V4" s="33"/>
      <c r="X4" s="13">
        <v>5.2549999999999999</v>
      </c>
      <c r="Y4" s="13">
        <v>11.613</v>
      </c>
      <c r="Z4" s="13">
        <v>5.306</v>
      </c>
      <c r="AA4" s="13"/>
      <c r="AB4" s="13">
        <v>1.5029999999999999</v>
      </c>
      <c r="AC4" s="13">
        <v>12.429</v>
      </c>
      <c r="AD4" s="13">
        <v>8.6980000000000004</v>
      </c>
      <c r="AE4" s="13">
        <v>2.35</v>
      </c>
      <c r="AF4" s="13">
        <v>3.1539999999999999</v>
      </c>
      <c r="AG4" s="13">
        <v>1.601</v>
      </c>
      <c r="AH4" s="13">
        <v>4.5789999999999997</v>
      </c>
      <c r="AI4" s="13">
        <v>3.2749999999999999</v>
      </c>
      <c r="AJ4" s="13">
        <v>7.8440000000000003</v>
      </c>
      <c r="AK4" s="13">
        <v>7.1520000000000001</v>
      </c>
      <c r="AL4" s="13">
        <v>8.6630000000000003</v>
      </c>
      <c r="AM4" s="13">
        <v>11.72</v>
      </c>
      <c r="AN4" s="33">
        <v>4.7969999999999997</v>
      </c>
      <c r="AO4" s="33">
        <v>8.0329999999999995</v>
      </c>
      <c r="AP4" s="33">
        <v>11.105</v>
      </c>
      <c r="AQ4" s="33">
        <v>7.125</v>
      </c>
      <c r="AR4" s="33">
        <v>10.242000000000001</v>
      </c>
      <c r="AS4" s="33">
        <v>13.539</v>
      </c>
      <c r="AT4" s="33">
        <v>9.6720000000000006</v>
      </c>
      <c r="AU4" s="33">
        <v>3.9329999999999998</v>
      </c>
      <c r="AV4" s="33">
        <v>10.206</v>
      </c>
      <c r="AW4" s="33">
        <v>4.7290000000000001</v>
      </c>
      <c r="AX4" s="33">
        <v>13.733000000000001</v>
      </c>
      <c r="AY4" s="33">
        <v>9.3940000000000001</v>
      </c>
      <c r="AZ4" s="33">
        <v>13.741</v>
      </c>
      <c r="BA4" s="33">
        <v>16.523</v>
      </c>
      <c r="BB4" s="33">
        <v>11.250999999999999</v>
      </c>
      <c r="BC4" s="33">
        <v>4.6449999999999996</v>
      </c>
      <c r="BD4" s="33">
        <v>6.157</v>
      </c>
      <c r="BE4" s="33">
        <v>12.454000000000001</v>
      </c>
      <c r="BF4" s="33">
        <v>7.6379999999999999</v>
      </c>
      <c r="BG4" s="33">
        <v>12.547000000000001</v>
      </c>
      <c r="BH4" s="33">
        <v>22.533999999999999</v>
      </c>
      <c r="BI4" s="33">
        <v>27.027000000000001</v>
      </c>
      <c r="BJ4" s="33">
        <v>37.598999999999997</v>
      </c>
      <c r="BK4" s="33">
        <v>19.437999999999999</v>
      </c>
      <c r="BL4" s="33">
        <v>20.052</v>
      </c>
      <c r="BM4" s="33">
        <v>22.408000000000001</v>
      </c>
      <c r="BN4" s="33">
        <v>17.63</v>
      </c>
      <c r="BO4" s="33"/>
      <c r="BP4" s="33">
        <v>19.856000000000002</v>
      </c>
      <c r="BQ4" s="33">
        <v>25.155000000000001</v>
      </c>
      <c r="BR4" s="33">
        <v>26.513999999999999</v>
      </c>
      <c r="BS4" s="33">
        <v>33.790999999999997</v>
      </c>
    </row>
    <row r="5" spans="1:71" ht="12" customHeight="1" thickBot="1" x14ac:dyDescent="0.3">
      <c r="A5" s="31"/>
      <c r="B5" s="32" t="s">
        <v>8</v>
      </c>
      <c r="C5" s="33">
        <v>6.2880000000000003</v>
      </c>
      <c r="D5" s="33">
        <v>20.497</v>
      </c>
      <c r="E5" s="29" t="str">
        <f t="shared" si="0"/>
        <v></v>
      </c>
      <c r="F5" s="36">
        <f t="shared" si="1"/>
        <v>-0.69322339854612869</v>
      </c>
      <c r="G5" s="33">
        <v>61.015000000000001</v>
      </c>
      <c r="H5" s="3"/>
      <c r="I5" s="3">
        <f t="shared" si="5"/>
        <v>61.015000000000001</v>
      </c>
      <c r="J5" s="10"/>
      <c r="K5" s="33">
        <v>16.510000000000002</v>
      </c>
      <c r="L5" s="33">
        <v>17.72</v>
      </c>
      <c r="M5" s="33">
        <v>20.497</v>
      </c>
      <c r="N5" s="33">
        <v>6.2880000000000003</v>
      </c>
      <c r="O5" s="33"/>
      <c r="P5" s="33"/>
      <c r="Q5" s="33"/>
      <c r="R5" s="33"/>
      <c r="S5" s="33"/>
      <c r="T5" s="33"/>
      <c r="U5" s="33"/>
      <c r="V5" s="33"/>
      <c r="X5" s="13">
        <v>43.843000000000004</v>
      </c>
      <c r="Y5" s="13">
        <v>38.548999999999999</v>
      </c>
      <c r="Z5" s="13">
        <v>29.065999999999999</v>
      </c>
      <c r="AA5" s="13">
        <v>15.43</v>
      </c>
      <c r="AB5" s="13">
        <v>19.834</v>
      </c>
      <c r="AC5" s="13">
        <v>39.296999999999997</v>
      </c>
      <c r="AD5" s="13">
        <v>40.896000000000001</v>
      </c>
      <c r="AE5" s="13">
        <v>31.565999999999999</v>
      </c>
      <c r="AF5" s="13">
        <v>19.821000000000002</v>
      </c>
      <c r="AG5" s="13">
        <v>43.210999999999999</v>
      </c>
      <c r="AH5" s="13">
        <v>49.622999999999998</v>
      </c>
      <c r="AI5" s="13">
        <v>46.168999999999997</v>
      </c>
      <c r="AJ5" s="13">
        <v>35.956000000000003</v>
      </c>
      <c r="AK5" s="13">
        <v>38.091000000000001</v>
      </c>
      <c r="AL5" s="13">
        <v>71.335999999999999</v>
      </c>
      <c r="AM5" s="13">
        <v>38.427</v>
      </c>
      <c r="AN5" s="33">
        <v>22.356999999999999</v>
      </c>
      <c r="AO5" s="33">
        <v>30.646000000000001</v>
      </c>
      <c r="AP5" s="33">
        <v>37.152000000000001</v>
      </c>
      <c r="AQ5" s="33">
        <v>37.292000000000002</v>
      </c>
      <c r="AR5" s="33">
        <v>39.408999999999999</v>
      </c>
      <c r="AS5" s="33">
        <v>35.561999999999998</v>
      </c>
      <c r="AT5" s="33">
        <v>32.302</v>
      </c>
      <c r="AU5" s="33">
        <v>44.427</v>
      </c>
      <c r="AV5" s="33">
        <v>31.623999999999999</v>
      </c>
      <c r="AW5" s="33">
        <v>39.664000000000001</v>
      </c>
      <c r="AX5" s="33">
        <v>30.754999999999999</v>
      </c>
      <c r="AY5" s="33">
        <v>19.547999999999998</v>
      </c>
      <c r="AZ5" s="33">
        <v>27.431999999999999</v>
      </c>
      <c r="BA5" s="33">
        <v>30.388000000000002</v>
      </c>
      <c r="BB5" s="33">
        <v>33.034999999999997</v>
      </c>
      <c r="BC5" s="33">
        <v>19.757999999999999</v>
      </c>
      <c r="BD5" s="33">
        <v>27.337</v>
      </c>
      <c r="BE5" s="33">
        <v>31.927</v>
      </c>
      <c r="BF5" s="33">
        <v>42.115000000000002</v>
      </c>
      <c r="BG5" s="33">
        <v>39.89</v>
      </c>
      <c r="BH5" s="33">
        <v>23.489000000000001</v>
      </c>
      <c r="BI5" s="33">
        <v>32.125999999999998</v>
      </c>
      <c r="BJ5" s="33">
        <v>14.603</v>
      </c>
      <c r="BK5" s="33">
        <v>26.486000000000001</v>
      </c>
      <c r="BL5" s="33">
        <v>19.437999999999999</v>
      </c>
      <c r="BM5" s="33">
        <v>27.050999999999998</v>
      </c>
      <c r="BN5" s="33">
        <v>30.989000000000001</v>
      </c>
      <c r="BO5" s="33">
        <v>32.784999999999997</v>
      </c>
      <c r="BP5" s="33">
        <v>32.930999999999997</v>
      </c>
      <c r="BQ5" s="33">
        <v>18.408000000000001</v>
      </c>
      <c r="BR5" s="33">
        <v>14.441000000000001</v>
      </c>
      <c r="BS5" s="33">
        <v>25.777000000000001</v>
      </c>
    </row>
    <row r="6" spans="1:71" ht="12" customHeight="1" thickBot="1" x14ac:dyDescent="0.3">
      <c r="A6" s="31"/>
      <c r="B6" s="32" t="s">
        <v>9</v>
      </c>
      <c r="C6" s="33"/>
      <c r="D6" s="33"/>
      <c r="E6" s="29" t="str">
        <f t="shared" si="0"/>
        <v/>
      </c>
      <c r="F6" s="36" t="str">
        <f t="shared" si="1"/>
        <v>—</v>
      </c>
      <c r="G6" s="33">
        <v>0</v>
      </c>
      <c r="H6" s="3"/>
      <c r="I6" s="3">
        <f t="shared" si="5"/>
        <v>0</v>
      </c>
      <c r="J6" s="10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13">
        <v>9.2200000000000006</v>
      </c>
      <c r="Y6" s="13">
        <v>4.76</v>
      </c>
      <c r="Z6" s="13">
        <v>4.9960000000000004</v>
      </c>
      <c r="AA6" s="13">
        <v>1E-3</v>
      </c>
      <c r="AB6" s="13">
        <v>4.76</v>
      </c>
      <c r="AC6" s="13">
        <v>4.5529999999999999</v>
      </c>
      <c r="AD6" s="13">
        <v>4.7619999999999996</v>
      </c>
      <c r="AE6" s="13">
        <v>4.7610000000000001</v>
      </c>
      <c r="AF6" s="13">
        <v>4.4560000000000004</v>
      </c>
      <c r="AG6" s="13">
        <v>4.7610000000000001</v>
      </c>
      <c r="AH6" s="13">
        <v>3.0539999999999998</v>
      </c>
      <c r="AI6" s="13">
        <v>6.2610000000000001</v>
      </c>
      <c r="AJ6" s="13"/>
      <c r="AK6" s="13">
        <v>9.52</v>
      </c>
      <c r="AL6" s="13">
        <v>7.9539999999999997</v>
      </c>
      <c r="AM6" s="13"/>
      <c r="AN6" s="33">
        <v>4.76</v>
      </c>
      <c r="AO6" s="33">
        <v>4.76</v>
      </c>
      <c r="AP6" s="33">
        <v>1.134E-3</v>
      </c>
      <c r="AQ6" s="33">
        <v>7.1059999999999999</v>
      </c>
      <c r="AR6" s="33">
        <v>1.152E-3</v>
      </c>
      <c r="AS6" s="33">
        <v>7.0990000000000002</v>
      </c>
      <c r="AT6" s="33">
        <v>3.1659999999999999</v>
      </c>
      <c r="AU6" s="33"/>
      <c r="AV6" s="33">
        <v>6.3609999999999998</v>
      </c>
      <c r="AW6" s="33">
        <v>4.0720000000000001</v>
      </c>
      <c r="AX6" s="33">
        <v>10.414999999999999</v>
      </c>
      <c r="AY6" s="33">
        <v>6.18</v>
      </c>
      <c r="AZ6" s="33">
        <v>3.109</v>
      </c>
      <c r="BA6" s="33">
        <v>6.3170000000000002</v>
      </c>
      <c r="BB6" s="33">
        <v>1.5369999999999999</v>
      </c>
      <c r="BC6" s="33">
        <v>4.7640000000000002</v>
      </c>
      <c r="BD6" s="33">
        <v>7.6660000000000004</v>
      </c>
      <c r="BE6" s="33">
        <v>7.7910000000000004</v>
      </c>
      <c r="BF6" s="33">
        <v>8.734</v>
      </c>
      <c r="BG6" s="33"/>
      <c r="BH6" s="33">
        <v>4.7619999999999996</v>
      </c>
      <c r="BI6" s="33"/>
      <c r="BJ6" s="33">
        <v>4.7629999999999999</v>
      </c>
      <c r="BK6" s="33"/>
      <c r="BL6" s="33"/>
      <c r="BM6" s="33"/>
      <c r="BN6" s="33"/>
      <c r="BO6" s="33">
        <v>13.164</v>
      </c>
      <c r="BP6" s="33"/>
      <c r="BQ6" s="33">
        <v>8.8390000000000004</v>
      </c>
      <c r="BR6" s="33">
        <v>1.4359999999999999</v>
      </c>
      <c r="BS6" s="33">
        <v>7.8170000000000002</v>
      </c>
    </row>
    <row r="7" spans="1:71" ht="12" customHeight="1" thickBot="1" x14ac:dyDescent="0.3">
      <c r="A7" s="31"/>
      <c r="B7" s="32" t="s">
        <v>28</v>
      </c>
      <c r="C7" s="33"/>
      <c r="D7" s="33"/>
      <c r="E7" s="29" t="str">
        <f t="shared" ref="E7" si="6">IF(OR(F7="=",F7="≈",F7="—"),"",IF(F7&gt;0,"",IF(F7&lt;0,"","")))</f>
        <v/>
      </c>
      <c r="F7" s="36" t="str">
        <f>IFERROR(IF(#REF!/D7-1=0,"=",IF(#REF!/D7-1=-1,"—",IF(OR(AND(#REF!/D7-1&lt;0.005,#REF!/D7-1&gt;0), AND(#REF!/D7-1&lt;0,#REF!/D7-1&gt;-0.005)),"≈",#REF!/D7-1))),"—")</f>
        <v>—</v>
      </c>
      <c r="G7" s="33">
        <v>0</v>
      </c>
      <c r="H7" s="3"/>
      <c r="I7" s="3">
        <f t="shared" si="5"/>
        <v>0</v>
      </c>
      <c r="J7" s="10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X7" s="13"/>
      <c r="Y7" s="13"/>
      <c r="Z7" s="13"/>
      <c r="AA7" s="13"/>
      <c r="AB7" s="13"/>
      <c r="AC7" s="13"/>
      <c r="AD7" s="13"/>
      <c r="AE7" s="13">
        <v>4.9939999999999998</v>
      </c>
      <c r="AF7" s="13"/>
      <c r="AG7" s="13"/>
      <c r="AH7" s="13"/>
      <c r="AI7" s="13"/>
      <c r="AJ7" s="13">
        <v>4.76</v>
      </c>
      <c r="AK7" s="13"/>
      <c r="AL7" s="13"/>
      <c r="AM7" s="13"/>
      <c r="AN7" s="33">
        <v>4.9829999999999997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ht="12" customHeight="1" thickBot="1" x14ac:dyDescent="0.3">
      <c r="A8" s="31"/>
      <c r="B8" s="32" t="s">
        <v>25</v>
      </c>
      <c r="C8" s="33"/>
      <c r="D8" s="33"/>
      <c r="E8" s="29" t="str">
        <f t="shared" ref="E8" si="7">IF(OR(F8="=",F8="≈",F8="—"),"",IF(F8&gt;0,"",IF(F8&lt;0,"","")))</f>
        <v/>
      </c>
      <c r="F8" s="36" t="str">
        <f>IFERROR(IF(#REF!/D8-1=0,"=",IF(#REF!/D8-1=-1,"—",IF(OR(AND(#REF!/D8-1&lt;0.005,#REF!/D8-1&gt;0), AND(#REF!/D8-1&lt;0,#REF!/D8-1&gt;-0.005)),"≈",#REF!/D8-1))),"—")</f>
        <v>—</v>
      </c>
      <c r="G8" s="33">
        <v>0</v>
      </c>
      <c r="H8" s="3"/>
      <c r="I8" s="3">
        <f t="shared" si="5"/>
        <v>0</v>
      </c>
      <c r="J8" s="10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>
        <v>4.7610000000000001</v>
      </c>
      <c r="BH8" s="33"/>
      <c r="BI8" s="33">
        <v>2.323</v>
      </c>
      <c r="BJ8" s="33"/>
      <c r="BK8" s="33"/>
      <c r="BL8" s="33"/>
      <c r="BM8" s="33"/>
      <c r="BN8" s="33"/>
      <c r="BO8" s="33"/>
      <c r="BP8" s="33"/>
      <c r="BQ8" s="33"/>
      <c r="BR8" s="33"/>
      <c r="BS8" s="33"/>
    </row>
  </sheetData>
  <mergeCells count="1">
    <mergeCell ref="E1:F1"/>
  </mergeCells>
  <conditionalFormatting sqref="E3:E7">
    <cfRule type="containsText" dxfId="5" priority="3" operator="containsText" text="">
      <formula>NOT(ISERROR(SEARCH("",E3)))</formula>
    </cfRule>
    <cfRule type="containsText" dxfId="4" priority="4" operator="containsText" text="">
      <formula>NOT(ISERROR(SEARCH("",E3)))</formula>
    </cfRule>
  </conditionalFormatting>
  <conditionalFormatting sqref="E8">
    <cfRule type="containsText" dxfId="3" priority="1" operator="containsText" text="">
      <formula>NOT(ISERROR(SEARCH("",E8)))</formula>
    </cfRule>
    <cfRule type="containsText" dxfId="2" priority="2" operator="containsText" text="">
      <formula>NOT(ISERROR(SEARCH("",E8)))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P54" sqref="P54"/>
    </sheetView>
  </sheetViews>
  <sheetFormatPr defaultRowHeight="15" x14ac:dyDescent="0.25"/>
  <cols>
    <col min="2" max="2" width="14.42578125" customWidth="1"/>
  </cols>
  <sheetData>
    <row r="1" spans="1:18" x14ac:dyDescent="0.25">
      <c r="A1" s="37" t="s">
        <v>33</v>
      </c>
      <c r="B1" s="37" t="s">
        <v>0</v>
      </c>
      <c r="C1" s="38" t="s">
        <v>20</v>
      </c>
      <c r="D1" s="38" t="s">
        <v>1</v>
      </c>
      <c r="E1" s="48" t="s">
        <v>2</v>
      </c>
      <c r="F1" s="48"/>
      <c r="G1" s="38" t="s">
        <v>34</v>
      </c>
      <c r="K1" s="38" t="s">
        <v>10</v>
      </c>
      <c r="L1" s="38" t="s">
        <v>11</v>
      </c>
      <c r="M1" s="38" t="s">
        <v>1</v>
      </c>
      <c r="N1" s="38" t="s">
        <v>12</v>
      </c>
      <c r="O1" s="38" t="s">
        <v>13</v>
      </c>
      <c r="P1" s="38" t="s">
        <v>14</v>
      </c>
      <c r="Q1" s="38" t="s">
        <v>15</v>
      </c>
      <c r="R1" s="38" t="s">
        <v>16</v>
      </c>
    </row>
    <row r="2" spans="1:18" ht="15.75" thickBot="1" x14ac:dyDescent="0.3">
      <c r="A2" s="23" t="s">
        <v>3</v>
      </c>
      <c r="B2" s="23"/>
      <c r="C2" s="1"/>
      <c r="D2" s="1"/>
      <c r="E2" s="1"/>
      <c r="F2" s="1"/>
      <c r="G2" s="1"/>
      <c r="K2" s="2"/>
      <c r="L2" s="2"/>
      <c r="M2" s="2"/>
      <c r="N2" s="2"/>
      <c r="O2" s="2"/>
      <c r="P2" s="2"/>
      <c r="Q2" s="2"/>
      <c r="R2" s="2"/>
    </row>
    <row r="3" spans="1:18" ht="15.75" thickBot="1" x14ac:dyDescent="0.3">
      <c r="A3" s="26" t="s">
        <v>19</v>
      </c>
      <c r="B3" s="45"/>
      <c r="C3" s="28">
        <f>SUM(C4:C8)</f>
        <v>23.33</v>
      </c>
      <c r="D3" s="28">
        <f>SUM(D4:D8)</f>
        <v>69.44</v>
      </c>
      <c r="E3" s="29" t="str">
        <f t="shared" ref="E3:E8" si="0">IF(OR(F3="=",F3="≈",F3="—"),"",IF(F3&gt;0,"",IF(F3&lt;0,"","")))</f>
        <v></v>
      </c>
      <c r="F3" s="30">
        <f t="shared" ref="F3:F8" si="1">IFERROR(IF(C3/D3-1=0,"=",IF(C3/D3-1=-1,"—",IF(OR(AND(C3/D3-1&lt;0.005,C3/D3-1&gt;0), AND(C3/D3-1&lt;0,C3/D3-1&gt;-0.005)),"≈",C3/D3-1))),"—")</f>
        <v>-0.66402649769585254</v>
      </c>
      <c r="G3" s="28">
        <f>SUM(K3:N3)</f>
        <v>115.92</v>
      </c>
      <c r="H3" s="3"/>
      <c r="I3" s="3"/>
      <c r="K3" s="4">
        <f>SUM(K4:K8)</f>
        <v>23.15</v>
      </c>
      <c r="L3" s="4">
        <f t="shared" ref="L3:R3" si="2">SUM(L4:L8)</f>
        <v>0</v>
      </c>
      <c r="M3" s="4">
        <f t="shared" si="2"/>
        <v>69.44</v>
      </c>
      <c r="N3" s="4">
        <f t="shared" si="2"/>
        <v>23.33</v>
      </c>
      <c r="O3" s="4">
        <f t="shared" si="2"/>
        <v>0.02</v>
      </c>
      <c r="P3" s="4">
        <f t="shared" si="2"/>
        <v>0</v>
      </c>
      <c r="Q3" s="4">
        <f t="shared" si="2"/>
        <v>0</v>
      </c>
      <c r="R3" s="4">
        <f t="shared" si="2"/>
        <v>0</v>
      </c>
    </row>
    <row r="4" spans="1:18" ht="15.75" thickBot="1" x14ac:dyDescent="0.3">
      <c r="A4" s="26"/>
      <c r="B4" s="32" t="s">
        <v>8</v>
      </c>
      <c r="C4" s="33"/>
      <c r="D4" s="33"/>
      <c r="E4" s="29" t="str">
        <f t="shared" si="0"/>
        <v/>
      </c>
      <c r="F4" s="36" t="str">
        <f t="shared" si="1"/>
        <v>—</v>
      </c>
      <c r="G4" s="33">
        <f t="shared" ref="G4:G8" si="3">SUM(K4:N4)</f>
        <v>0</v>
      </c>
      <c r="H4" s="3"/>
      <c r="I4" s="3"/>
      <c r="K4" s="5"/>
      <c r="L4" s="5"/>
      <c r="M4" s="5"/>
      <c r="N4" s="5"/>
      <c r="O4" s="5">
        <v>0.02</v>
      </c>
      <c r="P4" s="5"/>
      <c r="Q4" s="5"/>
      <c r="R4" s="5"/>
    </row>
    <row r="5" spans="1:18" ht="15.75" thickBot="1" x14ac:dyDescent="0.3">
      <c r="A5" s="26"/>
      <c r="B5" s="32" t="s">
        <v>7</v>
      </c>
      <c r="C5" s="33"/>
      <c r="D5" s="33">
        <v>22.78</v>
      </c>
      <c r="E5" s="29" t="str">
        <f t="shared" si="0"/>
        <v/>
      </c>
      <c r="F5" s="36" t="str">
        <f t="shared" si="1"/>
        <v>—</v>
      </c>
      <c r="G5" s="33">
        <f t="shared" si="3"/>
        <v>22.78</v>
      </c>
      <c r="H5" s="3"/>
      <c r="I5" s="3"/>
      <c r="K5" s="5"/>
      <c r="L5" s="5"/>
      <c r="M5" s="5">
        <v>22.78</v>
      </c>
      <c r="N5" s="5"/>
      <c r="O5" s="5"/>
      <c r="P5" s="5"/>
      <c r="Q5" s="5"/>
      <c r="R5" s="5"/>
    </row>
    <row r="6" spans="1:18" ht="15.75" thickBot="1" x14ac:dyDescent="0.3">
      <c r="A6" s="26"/>
      <c r="B6" s="32" t="s">
        <v>21</v>
      </c>
      <c r="C6" s="33">
        <v>23.33</v>
      </c>
      <c r="D6" s="33">
        <v>46.66</v>
      </c>
      <c r="E6" s="29" t="str">
        <f t="shared" si="0"/>
        <v></v>
      </c>
      <c r="F6" s="36">
        <f t="shared" si="1"/>
        <v>-0.5</v>
      </c>
      <c r="G6" s="33">
        <f t="shared" si="3"/>
        <v>93.14</v>
      </c>
      <c r="H6" s="3"/>
      <c r="I6" s="3"/>
      <c r="K6" s="5">
        <v>23.15</v>
      </c>
      <c r="L6" s="5"/>
      <c r="M6" s="5">
        <v>46.66</v>
      </c>
      <c r="N6" s="5">
        <v>23.33</v>
      </c>
      <c r="O6" s="5"/>
      <c r="P6" s="5"/>
      <c r="Q6" s="5"/>
      <c r="R6" s="5"/>
    </row>
    <row r="7" spans="1:18" ht="15.75" thickBot="1" x14ac:dyDescent="0.3">
      <c r="A7" s="31"/>
      <c r="B7" s="32" t="s">
        <v>42</v>
      </c>
      <c r="C7" s="33"/>
      <c r="D7" s="33"/>
      <c r="E7" s="29" t="str">
        <f t="shared" si="0"/>
        <v/>
      </c>
      <c r="F7" s="36" t="str">
        <f t="shared" si="1"/>
        <v>—</v>
      </c>
      <c r="G7" s="33">
        <f t="shared" si="3"/>
        <v>0</v>
      </c>
      <c r="H7" s="3"/>
      <c r="I7" s="3"/>
      <c r="K7" s="5"/>
      <c r="L7" s="5"/>
      <c r="M7" s="5"/>
      <c r="N7" s="5"/>
      <c r="O7" s="5"/>
      <c r="P7" s="5"/>
      <c r="Q7" s="5"/>
      <c r="R7" s="5"/>
    </row>
    <row r="8" spans="1:18" ht="15.75" thickBot="1" x14ac:dyDescent="0.3">
      <c r="A8" s="31"/>
      <c r="B8" s="32" t="s">
        <v>5</v>
      </c>
      <c r="C8" s="33"/>
      <c r="D8" s="33"/>
      <c r="E8" s="29" t="str">
        <f t="shared" si="0"/>
        <v/>
      </c>
      <c r="F8" s="36" t="str">
        <f t="shared" si="1"/>
        <v>—</v>
      </c>
      <c r="G8" s="33">
        <f t="shared" si="3"/>
        <v>0</v>
      </c>
      <c r="H8" s="3"/>
      <c r="I8" s="3"/>
      <c r="K8" s="5"/>
      <c r="L8" s="5"/>
      <c r="M8" s="5"/>
      <c r="N8" s="5"/>
      <c r="O8" s="5"/>
      <c r="P8" s="5"/>
      <c r="Q8" s="5"/>
      <c r="R8" s="5"/>
    </row>
    <row r="9" spans="1:18" x14ac:dyDescent="0.25">
      <c r="E9" s="17"/>
    </row>
    <row r="10" spans="1:18" x14ac:dyDescent="0.25">
      <c r="E10" s="17"/>
    </row>
    <row r="11" spans="1:18" x14ac:dyDescent="0.25">
      <c r="E11" s="17"/>
    </row>
    <row r="12" spans="1:18" x14ac:dyDescent="0.25">
      <c r="E12" s="17"/>
    </row>
    <row r="13" spans="1:18" x14ac:dyDescent="0.25">
      <c r="E13" s="17"/>
    </row>
    <row r="14" spans="1:18" x14ac:dyDescent="0.25">
      <c r="E14" s="17"/>
    </row>
  </sheetData>
  <mergeCells count="1">
    <mergeCell ref="E1:F1"/>
  </mergeCells>
  <conditionalFormatting sqref="E3:E8">
    <cfRule type="containsText" dxfId="1" priority="1" operator="containsText" text="">
      <formula>NOT(ISERROR(SEARCH("",E3)))</formula>
    </cfRule>
    <cfRule type="containsText" dxfId="0" priority="2" operator="containsText" text="">
      <formula>NOT(ISERROR(SEARCH("",E3)))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imp prop south korea</vt:lpstr>
      <vt:lpstr>exp prop south korea</vt:lpstr>
      <vt:lpstr>imp prop taiwan</vt:lpstr>
      <vt:lpstr>exp prop taiwan</vt:lpstr>
      <vt:lpstr>imp prop thailand</vt:lpstr>
      <vt:lpstr>exp prop thailand</vt:lpstr>
      <vt:lpstr>imp prop china</vt:lpstr>
      <vt:lpstr>exp prop china</vt:lpstr>
      <vt:lpstr>imp prop japan</vt:lpstr>
      <vt:lpstr>exp prop japan</vt:lpstr>
      <vt:lpstr>imp prop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2026-06-04T12:34:06Z</dcterms:modified>
</cp:coreProperties>
</file>