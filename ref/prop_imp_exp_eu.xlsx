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2"/>
  </bookViews>
  <sheets>
    <sheet name="imp prop europ" sheetId="1" r:id="rId1"/>
    <sheet name="exp prop europ" sheetId="2" r:id="rId2"/>
    <sheet name="Production" sheetId="3" r:id="rId3"/>
  </sheets>
  <calcPr calcId="162913"/>
</workbook>
</file>

<file path=xl/calcChain.xml><?xml version="1.0" encoding="utf-8"?>
<calcChain xmlns="http://schemas.openxmlformats.org/spreadsheetml/2006/main">
  <c r="I4" i="2" l="1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" i="2"/>
  <c r="F4" i="1"/>
  <c r="E4" i="1" s="1"/>
  <c r="F5" i="1"/>
  <c r="E5" i="1" s="1"/>
  <c r="F6" i="1"/>
  <c r="E6" i="1" s="1"/>
  <c r="F7" i="1"/>
  <c r="E7" i="1" s="1"/>
  <c r="F8" i="1"/>
  <c r="E8" i="1" s="1"/>
  <c r="F9" i="1"/>
  <c r="E9" i="1" s="1"/>
  <c r="F10" i="1"/>
  <c r="E10" i="1" s="1"/>
  <c r="F11" i="1"/>
  <c r="E11" i="1" s="1"/>
  <c r="F12" i="1"/>
  <c r="E12" i="1" s="1"/>
  <c r="F13" i="1"/>
  <c r="E13" i="1" s="1"/>
  <c r="F14" i="1"/>
  <c r="E14" i="1" s="1"/>
  <c r="F15" i="1"/>
  <c r="E15" i="1" s="1"/>
  <c r="F16" i="1"/>
  <c r="E16" i="1" s="1"/>
  <c r="F17" i="1"/>
  <c r="E17" i="1" s="1"/>
  <c r="F18" i="1"/>
  <c r="E18" i="1" s="1"/>
  <c r="F19" i="1"/>
  <c r="E19" i="1" s="1"/>
  <c r="F20" i="1"/>
  <c r="E20" i="1" s="1"/>
  <c r="F21" i="1"/>
  <c r="E21" i="1" s="1"/>
  <c r="E22" i="1"/>
  <c r="F23" i="1"/>
  <c r="E23" i="1" s="1"/>
  <c r="F24" i="1"/>
  <c r="E24" i="1" s="1"/>
  <c r="F25" i="1"/>
  <c r="E25" i="1" s="1"/>
  <c r="F26" i="1"/>
  <c r="E26" i="1" s="1"/>
  <c r="F27" i="1"/>
  <c r="E27" i="1" s="1"/>
  <c r="F28" i="1"/>
  <c r="E28" i="1" s="1"/>
  <c r="F29" i="1"/>
  <c r="E29" i="1" s="1"/>
  <c r="F30" i="1"/>
  <c r="E30" i="1" s="1"/>
  <c r="F31" i="1"/>
  <c r="E31" i="1" s="1"/>
  <c r="F32" i="1"/>
  <c r="E32" i="1" s="1"/>
  <c r="F33" i="1"/>
  <c r="E33" i="1" s="1"/>
  <c r="F34" i="1"/>
  <c r="E34" i="1" s="1"/>
  <c r="F35" i="1"/>
  <c r="E35" i="1" s="1"/>
  <c r="F36" i="1"/>
  <c r="E36" i="1" s="1"/>
  <c r="F37" i="1"/>
  <c r="E37" i="1" s="1"/>
  <c r="F38" i="1"/>
  <c r="E38" i="1" s="1"/>
  <c r="F39" i="1"/>
  <c r="E39" i="1" s="1"/>
  <c r="F40" i="1"/>
  <c r="E40" i="1" s="1"/>
  <c r="F41" i="1"/>
  <c r="E41" i="1" s="1"/>
  <c r="F42" i="1"/>
  <c r="E42" i="1" s="1"/>
  <c r="F43" i="1"/>
  <c r="E43" i="1" s="1"/>
  <c r="F44" i="1"/>
  <c r="E44" i="1" s="1"/>
  <c r="F45" i="1"/>
  <c r="E45" i="1" s="1"/>
  <c r="F46" i="1"/>
  <c r="E46" i="1" s="1"/>
  <c r="F47" i="1"/>
  <c r="E47" i="1" s="1"/>
  <c r="F48" i="1"/>
  <c r="E48" i="1" s="1"/>
  <c r="F49" i="1"/>
  <c r="E49" i="1" s="1"/>
  <c r="F50" i="1"/>
  <c r="E50" i="1" s="1"/>
  <c r="F51" i="1"/>
  <c r="E51" i="1" s="1"/>
  <c r="F52" i="1"/>
  <c r="E52" i="1" s="1"/>
  <c r="F53" i="1"/>
  <c r="E53" i="1" s="1"/>
  <c r="F54" i="1"/>
  <c r="E54" i="1" s="1"/>
  <c r="F55" i="1"/>
  <c r="E55" i="1" s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3" i="1"/>
  <c r="F4" i="2" l="1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I91" i="1" l="1"/>
  <c r="F91" i="1"/>
  <c r="E91" i="1" s="1"/>
  <c r="I90" i="1"/>
  <c r="F90" i="1"/>
  <c r="E90" i="1" s="1"/>
  <c r="I89" i="1"/>
  <c r="F89" i="1"/>
  <c r="E89" i="1" s="1"/>
  <c r="I88" i="1"/>
  <c r="F88" i="1"/>
  <c r="E88" i="1" s="1"/>
  <c r="I84" i="1"/>
  <c r="F84" i="1"/>
  <c r="E84" i="1" s="1"/>
  <c r="I83" i="1"/>
  <c r="F83" i="1"/>
  <c r="E83" i="1" s="1"/>
  <c r="I82" i="1"/>
  <c r="F82" i="1"/>
  <c r="E82" i="1" s="1"/>
  <c r="I81" i="1"/>
  <c r="F81" i="1"/>
  <c r="E81" i="1" s="1"/>
  <c r="E17" i="2" l="1"/>
  <c r="F3" i="1"/>
  <c r="I68" i="1" l="1"/>
  <c r="I69" i="1"/>
  <c r="I70" i="1"/>
  <c r="I71" i="1"/>
  <c r="I75" i="1"/>
  <c r="I76" i="1"/>
  <c r="I77" i="1"/>
  <c r="I78" i="1"/>
  <c r="I94" i="1"/>
  <c r="I95" i="1"/>
  <c r="I96" i="1"/>
  <c r="I97" i="1"/>
  <c r="I98" i="1"/>
  <c r="F3" i="2" l="1"/>
  <c r="F77" i="1" l="1"/>
  <c r="E77" i="1" s="1"/>
  <c r="F76" i="1"/>
  <c r="E76" i="1" s="1"/>
  <c r="E35" i="2" l="1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F98" i="1"/>
  <c r="E98" i="1" s="1"/>
  <c r="F97" i="1"/>
  <c r="E97" i="1" s="1"/>
  <c r="F96" i="1"/>
  <c r="E96" i="1" s="1"/>
  <c r="F95" i="1"/>
  <c r="E95" i="1" s="1"/>
  <c r="F94" i="1"/>
  <c r="E94" i="1" s="1"/>
  <c r="F78" i="1"/>
  <c r="E78" i="1" s="1"/>
  <c r="F75" i="1"/>
  <c r="E75" i="1" s="1"/>
  <c r="F71" i="1"/>
  <c r="E71" i="1" s="1"/>
  <c r="F70" i="1"/>
  <c r="E70" i="1" s="1"/>
  <c r="F69" i="1"/>
  <c r="E69" i="1" s="1"/>
  <c r="F68" i="1"/>
  <c r="E68" i="1" s="1"/>
  <c r="E3" i="1"/>
</calcChain>
</file>

<file path=xl/sharedStrings.xml><?xml version="1.0" encoding="utf-8"?>
<sst xmlns="http://schemas.openxmlformats.org/spreadsheetml/2006/main" count="236" uniqueCount="108">
  <si>
    <t>Importer (EU-27)</t>
  </si>
  <si>
    <t xml:space="preserve">Source </t>
  </si>
  <si>
    <t>Mar 22</t>
  </si>
  <si>
    <t>change</t>
  </si>
  <si>
    <t>‘000 t</t>
  </si>
  <si>
    <t>France</t>
  </si>
  <si>
    <t>Germany</t>
  </si>
  <si>
    <t>Netherlands</t>
  </si>
  <si>
    <t>Belgium</t>
  </si>
  <si>
    <t>Poland</t>
  </si>
  <si>
    <t>Hungary</t>
  </si>
  <si>
    <t>United Kingdom</t>
  </si>
  <si>
    <t>others</t>
  </si>
  <si>
    <t>Italy</t>
  </si>
  <si>
    <t>Egypt</t>
  </si>
  <si>
    <t>Portugal</t>
  </si>
  <si>
    <t>South Korea</t>
  </si>
  <si>
    <t>China</t>
  </si>
  <si>
    <t>Taiwan</t>
  </si>
  <si>
    <t>Spain</t>
  </si>
  <si>
    <t>total</t>
  </si>
  <si>
    <t>Jan 22</t>
  </si>
  <si>
    <t>Feb 22</t>
  </si>
  <si>
    <t xml:space="preserve">Apr 22 </t>
  </si>
  <si>
    <t>May 22</t>
  </si>
  <si>
    <t>Jun 22</t>
  </si>
  <si>
    <t>Jul 22</t>
  </si>
  <si>
    <t>Aug 22</t>
  </si>
  <si>
    <t>Malaysia</t>
  </si>
  <si>
    <t>Romania</t>
  </si>
  <si>
    <t>Saudi Arabia</t>
  </si>
  <si>
    <t>USA</t>
  </si>
  <si>
    <t>United Arab Emirates</t>
  </si>
  <si>
    <t>Bulgaria</t>
  </si>
  <si>
    <t>Ukraine</t>
  </si>
  <si>
    <t xml:space="preserve">Russian Federation </t>
  </si>
  <si>
    <t xml:space="preserve">Ukraine </t>
  </si>
  <si>
    <t>Serbia</t>
  </si>
  <si>
    <t>Greece</t>
  </si>
  <si>
    <t>Belarus</t>
  </si>
  <si>
    <t>Slovakia</t>
  </si>
  <si>
    <t>Israel</t>
  </si>
  <si>
    <t xml:space="preserve">USA </t>
  </si>
  <si>
    <t>Tunisia</t>
  </si>
  <si>
    <t>Brazil</t>
  </si>
  <si>
    <t>Oman</t>
  </si>
  <si>
    <t>Mexico</t>
  </si>
  <si>
    <t>Source (outside EU)</t>
  </si>
  <si>
    <t>Colombia</t>
  </si>
  <si>
    <t>Sept 22</t>
  </si>
  <si>
    <t>Oct 22</t>
  </si>
  <si>
    <t>Nov 22</t>
  </si>
  <si>
    <t>Dec 22</t>
  </si>
  <si>
    <t>Turkiye</t>
  </si>
  <si>
    <t>Jan 23</t>
  </si>
  <si>
    <t>I quarter</t>
  </si>
  <si>
    <t>II quarter</t>
  </si>
  <si>
    <t>III quarter</t>
  </si>
  <si>
    <t>IV quarter</t>
  </si>
  <si>
    <t>Feb 23</t>
  </si>
  <si>
    <t>.</t>
  </si>
  <si>
    <t>Mar 23</t>
  </si>
  <si>
    <t>Apr 23</t>
  </si>
  <si>
    <t>May 23</t>
  </si>
  <si>
    <t>Jun 23</t>
  </si>
  <si>
    <t>Jul 23</t>
  </si>
  <si>
    <t>Aug 23</t>
  </si>
  <si>
    <t>Sept 23</t>
  </si>
  <si>
    <t>Oct 23</t>
  </si>
  <si>
    <t>Oct</t>
  </si>
  <si>
    <t>Nov 23</t>
  </si>
  <si>
    <t>Dec 23</t>
  </si>
  <si>
    <t>Jan 24</t>
  </si>
  <si>
    <t>Libya</t>
  </si>
  <si>
    <t>Feb 24</t>
  </si>
  <si>
    <t>Mar 24</t>
  </si>
  <si>
    <t>Apr 24</t>
  </si>
  <si>
    <t>May 24</t>
  </si>
  <si>
    <t>Jun 24</t>
  </si>
  <si>
    <t>Jul 24</t>
  </si>
  <si>
    <t>Aug 24</t>
  </si>
  <si>
    <t>Sep 24</t>
  </si>
  <si>
    <t>Oct 24</t>
  </si>
  <si>
    <t>Nov 24</t>
  </si>
  <si>
    <t>Dec 24</t>
  </si>
  <si>
    <t>Jan 25</t>
  </si>
  <si>
    <t>Feb 25</t>
  </si>
  <si>
    <t>Norway</t>
  </si>
  <si>
    <t>belgium</t>
  </si>
  <si>
    <t>romania</t>
  </si>
  <si>
    <t>Mar 25</t>
  </si>
  <si>
    <t>Malta</t>
  </si>
  <si>
    <t>Apr 25</t>
  </si>
  <si>
    <t>spain</t>
  </si>
  <si>
    <t>germany</t>
  </si>
  <si>
    <t>May 25</t>
  </si>
  <si>
    <t>Jun 25</t>
  </si>
  <si>
    <t>Jul 25</t>
  </si>
  <si>
    <t>Aug 25</t>
  </si>
  <si>
    <t>Sep 25</t>
  </si>
  <si>
    <t>Oct 25</t>
  </si>
  <si>
    <t>Nov 25</t>
  </si>
  <si>
    <t>Dec 25</t>
  </si>
  <si>
    <t>Jan 26</t>
  </si>
  <si>
    <t>—</t>
  </si>
  <si>
    <t>Feb 26</t>
  </si>
  <si>
    <t>Mar 26</t>
  </si>
  <si>
    <t>Jan-Mar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</si>
</sst>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9"/>
      <color rgb="FFFFFFFF"/>
      <name val="Arial"/>
      <family val="2"/>
      <charset val="204"/>
    </font>
    <font>
      <b/>
      <sz val="10"/>
      <color rgb="FFFFFFFF"/>
      <name val="Arial"/>
      <family val="2"/>
      <charset val="204"/>
    </font>
    <font>
      <i/>
      <u/>
      <sz val="9"/>
      <color theme="1"/>
      <name val="Arial"/>
      <family val="2"/>
      <charset val="204"/>
    </font>
    <font>
      <sz val="9"/>
      <color theme="1"/>
      <name val="Calibri"/>
      <family val="2"/>
      <charset val="204"/>
      <scheme val="minor"/>
    </font>
    <font>
      <b/>
      <sz val="9"/>
      <color theme="1"/>
      <name val="Arial"/>
      <family val="2"/>
      <charset val="204"/>
    </font>
    <font>
      <sz val="9"/>
      <color rgb="FF000000"/>
      <name val="Wingdings"/>
      <charset val="2"/>
    </font>
    <font>
      <b/>
      <sz val="9"/>
      <color rgb="FF000000"/>
      <name val="Arial"/>
      <family val="2"/>
      <charset val="204"/>
    </font>
    <font>
      <b/>
      <sz val="10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sz val="9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b/>
      <i/>
      <sz val="9"/>
      <color theme="1"/>
      <name val="Arial"/>
      <family val="2"/>
      <charset val="204"/>
    </font>
    <font>
      <b/>
      <sz val="11"/>
      <color rgb="FFFF0000"/>
      <name val="Calibri"/>
      <family val="2"/>
      <charset val="204"/>
      <scheme val="minor"/>
    </font>
    <font>
      <sz val="9"/>
      <color rgb="FFFFFFFF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991B1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41919A"/>
      </bottom>
      <diagonal/>
    </border>
    <border>
      <left/>
      <right/>
      <top style="medium">
        <color rgb="FF41919A"/>
      </top>
      <bottom style="medium">
        <color rgb="FF41919A"/>
      </bottom>
      <diagonal/>
    </border>
    <border>
      <left/>
      <right/>
      <top style="thin">
        <color rgb="FF41919A"/>
      </top>
      <bottom style="thin">
        <color rgb="FF41919A"/>
      </bottom>
      <diagonal/>
    </border>
    <border>
      <left/>
      <right/>
      <top/>
      <bottom style="thin">
        <color rgb="FF41919A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1">
    <xf numFmtId="0" fontId="0" fillId="0" borderId="0" xfId="0"/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6" fillId="3" borderId="0" xfId="0" applyFont="1" applyFill="1"/>
    <xf numFmtId="0" fontId="0" fillId="3" borderId="0" xfId="0" applyFill="1"/>
    <xf numFmtId="2" fontId="0" fillId="0" borderId="0" xfId="0" applyNumberFormat="1"/>
    <xf numFmtId="0" fontId="0" fillId="0" borderId="0" xfId="0" applyFill="1"/>
    <xf numFmtId="2" fontId="10" fillId="0" borderId="2" xfId="0" applyNumberFormat="1" applyFont="1" applyFill="1" applyBorder="1" applyAlignment="1">
      <alignment horizontal="center" vertical="center"/>
    </xf>
    <xf numFmtId="2" fontId="13" fillId="0" borderId="2" xfId="0" applyNumberFormat="1" applyFont="1" applyFill="1" applyBorder="1" applyAlignment="1">
      <alignment horizontal="center" vertical="center"/>
    </xf>
    <xf numFmtId="2" fontId="13" fillId="0" borderId="1" xfId="0" applyNumberFormat="1" applyFont="1" applyFill="1" applyBorder="1" applyAlignment="1">
      <alignment horizontal="center" vertical="center"/>
    </xf>
    <xf numFmtId="2" fontId="10" fillId="5" borderId="1" xfId="0" applyNumberFormat="1" applyFont="1" applyFill="1" applyBorder="1" applyAlignment="1">
      <alignment horizontal="center" vertical="center"/>
    </xf>
    <xf numFmtId="2" fontId="13" fillId="5" borderId="1" xfId="0" applyNumberFormat="1" applyFont="1" applyFill="1" applyBorder="1" applyAlignment="1">
      <alignment horizontal="center" vertical="center"/>
    </xf>
    <xf numFmtId="9" fontId="0" fillId="0" borderId="0" xfId="1" applyFont="1"/>
    <xf numFmtId="0" fontId="5" fillId="3" borderId="0" xfId="0" applyFont="1" applyFill="1" applyBorder="1" applyAlignment="1">
      <alignment vertical="center"/>
    </xf>
    <xf numFmtId="0" fontId="7" fillId="4" borderId="3" xfId="0" applyFont="1" applyFill="1" applyBorder="1" applyAlignment="1">
      <alignment vertical="center"/>
    </xf>
    <xf numFmtId="0" fontId="7" fillId="4" borderId="3" xfId="0" applyFont="1" applyFill="1" applyBorder="1" applyAlignment="1">
      <alignment horizontal="left" vertical="center"/>
    </xf>
    <xf numFmtId="2" fontId="7" fillId="4" borderId="3" xfId="0" applyNumberFormat="1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right" vertical="center"/>
    </xf>
    <xf numFmtId="9" fontId="9" fillId="5" borderId="3" xfId="1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vertical="center"/>
    </xf>
    <xf numFmtId="0" fontId="11" fillId="4" borderId="3" xfId="0" applyFont="1" applyFill="1" applyBorder="1" applyAlignment="1">
      <alignment horizontal="left" vertical="center"/>
    </xf>
    <xf numFmtId="2" fontId="11" fillId="4" borderId="3" xfId="0" applyNumberFormat="1" applyFont="1" applyFill="1" applyBorder="1" applyAlignment="1">
      <alignment horizontal="center" vertical="center"/>
    </xf>
    <xf numFmtId="9" fontId="12" fillId="5" borderId="3" xfId="1" applyFont="1" applyFill="1" applyBorder="1" applyAlignment="1">
      <alignment horizontal="center" vertical="center"/>
    </xf>
    <xf numFmtId="0" fontId="7" fillId="3" borderId="3" xfId="0" applyFont="1" applyFill="1" applyBorder="1" applyAlignment="1">
      <alignment vertical="center"/>
    </xf>
    <xf numFmtId="0" fontId="7" fillId="3" borderId="3" xfId="0" applyFont="1" applyFill="1" applyBorder="1" applyAlignment="1">
      <alignment horizontal="left" vertical="center"/>
    </xf>
    <xf numFmtId="2" fontId="7" fillId="3" borderId="3" xfId="0" applyNumberFormat="1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right" vertical="center"/>
    </xf>
    <xf numFmtId="9" fontId="9" fillId="6" borderId="3" xfId="1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vertical="center"/>
    </xf>
    <xf numFmtId="2" fontId="11" fillId="3" borderId="3" xfId="0" applyNumberFormat="1" applyFont="1" applyFill="1" applyBorder="1" applyAlignment="1">
      <alignment horizontal="center" vertical="center"/>
    </xf>
    <xf numFmtId="9" fontId="12" fillId="6" borderId="3" xfId="1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vertical="center"/>
    </xf>
    <xf numFmtId="0" fontId="7" fillId="5" borderId="3" xfId="0" applyFont="1" applyFill="1" applyBorder="1" applyAlignment="1">
      <alignment horizontal="left" vertical="center"/>
    </xf>
    <xf numFmtId="2" fontId="7" fillId="5" borderId="3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left" vertical="center"/>
    </xf>
    <xf numFmtId="2" fontId="11" fillId="5" borderId="3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vertical="center"/>
    </xf>
    <xf numFmtId="0" fontId="5" fillId="3" borderId="4" xfId="0" applyFont="1" applyFill="1" applyBorder="1" applyAlignment="1">
      <alignment vertical="center"/>
    </xf>
    <xf numFmtId="0" fontId="8" fillId="5" borderId="3" xfId="0" applyFont="1" applyFill="1" applyBorder="1" applyAlignment="1">
      <alignment horizontal="right" vertical="center"/>
    </xf>
    <xf numFmtId="0" fontId="7" fillId="5" borderId="3" xfId="0" applyFont="1" applyFill="1" applyBorder="1" applyAlignment="1">
      <alignment horizontal="center" vertical="center"/>
    </xf>
    <xf numFmtId="9" fontId="9" fillId="3" borderId="3" xfId="1" applyFont="1" applyFill="1" applyBorder="1" applyAlignment="1">
      <alignment horizontal="center" vertical="center"/>
    </xf>
    <xf numFmtId="9" fontId="12" fillId="3" borderId="3" xfId="1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vertical="center"/>
    </xf>
    <xf numFmtId="2" fontId="10" fillId="5" borderId="2" xfId="0" applyNumberFormat="1" applyFont="1" applyFill="1" applyBorder="1" applyAlignment="1">
      <alignment horizontal="center" vertical="center"/>
    </xf>
    <xf numFmtId="2" fontId="13" fillId="5" borderId="2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6" fillId="2" borderId="0" xfId="0" applyFont="1" applyFill="1" applyAlignment="1">
      <alignment horizontal="center" vertical="center"/>
    </xf>
    <xf numFmtId="0" fontId="12" fillId="4" borderId="3" xfId="0" applyFont="1" applyFill="1" applyBorder="1" applyAlignment="1">
      <alignment vertical="center"/>
    </xf>
    <xf numFmtId="3" fontId="11" fillId="4" borderId="3" xfId="0" applyNumberFormat="1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vertical="center"/>
    </xf>
    <xf numFmtId="3" fontId="11" fillId="6" borderId="3" xfId="0" applyNumberFormat="1" applyFont="1" applyFill="1" applyBorder="1" applyAlignment="1">
      <alignment horizontal="center" vertical="center"/>
    </xf>
    <xf numFmtId="0" fontId="15" fillId="0" borderId="0" xfId="0" applyFont="1" applyBorder="1"/>
    <xf numFmtId="0" fontId="0" fillId="0" borderId="0" xfId="0" applyBorder="1"/>
    <xf numFmtId="2" fontId="0" fillId="0" borderId="0" xfId="0" applyNumberFormat="1" applyBorder="1"/>
    <xf numFmtId="0" fontId="5" fillId="6" borderId="4" xfId="0" applyFont="1" applyFill="1" applyBorder="1" applyAlignment="1">
      <alignment vertical="center"/>
    </xf>
    <xf numFmtId="3" fontId="0" fillId="0" borderId="0" xfId="0" applyNumberFormat="1"/>
    <xf numFmtId="9" fontId="3" fillId="2" borderId="0" xfId="1" applyFont="1" applyFill="1" applyAlignment="1">
      <alignment horizontal="center" vertical="center"/>
    </xf>
    <xf numFmtId="9" fontId="4" fillId="2" borderId="0" xfId="1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174"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98"/>
  <sheetViews>
    <sheetView zoomScale="90" zoomScaleNormal="90" workbookViewId="0">
      <selection activeCell="C1" sqref="C1:G1"/>
    </sheetView>
  </sheetViews>
  <sheetFormatPr defaultRowHeight="15" x14ac:dyDescent="0.25"/>
  <cols>
    <col min="1" max="1" width="17.85546875" customWidth="1"/>
    <col min="2" max="2" width="23.28515625" customWidth="1"/>
    <col min="3" max="4" width="12.85546875" customWidth="1"/>
    <col min="7" max="7" width="11.28515625" customWidth="1"/>
    <col min="33" max="39" width="12.85546875" customWidth="1"/>
    <col min="41" max="41" width="9" customWidth="1"/>
    <col min="43" max="61" width="12.85546875" customWidth="1"/>
  </cols>
  <sheetData>
    <row r="1" spans="1:61" ht="11.25" customHeight="1" x14ac:dyDescent="0.25">
      <c r="A1" s="1" t="s">
        <v>0</v>
      </c>
      <c r="B1" s="1" t="s">
        <v>47</v>
      </c>
      <c r="C1" s="3" t="s">
        <v>106</v>
      </c>
      <c r="D1" s="3" t="s">
        <v>105</v>
      </c>
      <c r="E1" s="59" t="s">
        <v>3</v>
      </c>
      <c r="F1" s="59"/>
      <c r="G1" s="2" t="s">
        <v>107</v>
      </c>
      <c r="H1" s="54"/>
      <c r="K1" s="3" t="s">
        <v>21</v>
      </c>
      <c r="L1" s="3" t="s">
        <v>22</v>
      </c>
      <c r="M1" s="3" t="s">
        <v>2</v>
      </c>
      <c r="N1" s="3" t="s">
        <v>23</v>
      </c>
      <c r="O1" s="3" t="s">
        <v>24</v>
      </c>
      <c r="P1" s="3" t="s">
        <v>25</v>
      </c>
      <c r="Q1" s="3" t="s">
        <v>26</v>
      </c>
      <c r="R1" s="3" t="s">
        <v>27</v>
      </c>
      <c r="S1" s="3" t="s">
        <v>49</v>
      </c>
      <c r="T1" s="3" t="s">
        <v>50</v>
      </c>
      <c r="U1" s="3" t="s">
        <v>51</v>
      </c>
      <c r="V1" s="3" t="s">
        <v>52</v>
      </c>
      <c r="W1" s="3" t="s">
        <v>54</v>
      </c>
      <c r="X1" s="3" t="s">
        <v>59</v>
      </c>
      <c r="Y1" s="3" t="s">
        <v>61</v>
      </c>
      <c r="Z1" s="3" t="s">
        <v>62</v>
      </c>
      <c r="AA1" s="3" t="s">
        <v>63</v>
      </c>
      <c r="AB1" s="3" t="s">
        <v>64</v>
      </c>
      <c r="AC1" s="3" t="s">
        <v>65</v>
      </c>
      <c r="AD1" s="3" t="s">
        <v>66</v>
      </c>
      <c r="AE1" s="3" t="s">
        <v>67</v>
      </c>
      <c r="AF1" s="3" t="s">
        <v>68</v>
      </c>
      <c r="AG1" s="3" t="s">
        <v>70</v>
      </c>
      <c r="AH1" s="3" t="s">
        <v>71</v>
      </c>
      <c r="AI1" s="3" t="s">
        <v>72</v>
      </c>
      <c r="AJ1" s="3" t="s">
        <v>74</v>
      </c>
      <c r="AK1" s="3" t="s">
        <v>75</v>
      </c>
      <c r="AL1" s="3" t="s">
        <v>76</v>
      </c>
      <c r="AM1" s="3" t="s">
        <v>77</v>
      </c>
      <c r="AN1" s="3" t="s">
        <v>78</v>
      </c>
      <c r="AO1" s="3" t="s">
        <v>79</v>
      </c>
      <c r="AP1" s="3" t="s">
        <v>80</v>
      </c>
      <c r="AQ1" s="3" t="s">
        <v>81</v>
      </c>
      <c r="AR1" s="3" t="s">
        <v>82</v>
      </c>
      <c r="AS1" s="3" t="s">
        <v>83</v>
      </c>
      <c r="AT1" s="3" t="s">
        <v>84</v>
      </c>
      <c r="AU1" s="3" t="s">
        <v>85</v>
      </c>
      <c r="AV1" s="3" t="s">
        <v>86</v>
      </c>
      <c r="AW1" s="3" t="s">
        <v>90</v>
      </c>
      <c r="AX1" s="3" t="s">
        <v>92</v>
      </c>
      <c r="AY1" s="3" t="s">
        <v>95</v>
      </c>
      <c r="AZ1" s="3" t="s">
        <v>96</v>
      </c>
      <c r="BA1" s="3" t="s">
        <v>97</v>
      </c>
      <c r="BB1" s="3" t="s">
        <v>98</v>
      </c>
      <c r="BC1" s="3" t="s">
        <v>99</v>
      </c>
      <c r="BD1" s="3" t="s">
        <v>100</v>
      </c>
      <c r="BE1" s="3" t="s">
        <v>101</v>
      </c>
      <c r="BF1" s="3" t="s">
        <v>102</v>
      </c>
      <c r="BG1" s="3" t="s">
        <v>103</v>
      </c>
      <c r="BH1" s="3" t="s">
        <v>105</v>
      </c>
      <c r="BI1" s="3" t="s">
        <v>106</v>
      </c>
    </row>
    <row r="2" spans="1:61" ht="11.25" customHeight="1" x14ac:dyDescent="0.25">
      <c r="A2" s="14" t="s">
        <v>4</v>
      </c>
      <c r="B2" s="14"/>
      <c r="C2" s="4"/>
      <c r="D2" s="4"/>
      <c r="E2" s="4"/>
      <c r="F2" s="4"/>
      <c r="G2" s="4"/>
      <c r="H2" s="5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</row>
    <row r="3" spans="1:61" ht="11.25" customHeight="1" x14ac:dyDescent="0.25">
      <c r="A3" s="34" t="s">
        <v>8</v>
      </c>
      <c r="B3" s="35"/>
      <c r="C3" s="36">
        <v>17.809999999999999</v>
      </c>
      <c r="D3" s="36">
        <v>2.0699999999999998</v>
      </c>
      <c r="E3" s="41" t="str">
        <f t="shared" ref="E3" si="0">IF(OR(F3="=",F3="≈",F3="—"),"",IF(F3&gt;0,"",IF(F3&lt;0,"","")))</f>
        <v></v>
      </c>
      <c r="F3" s="19">
        <f t="shared" ref="F3" si="1">IFERROR(IF(C3/D3-1=0,"=",IF(C3/D3-1=-1,"—",IF(OR(AND(C3/D3-1&lt;0.005,C3/D3-1&gt;0), AND(C3/D3-1&lt;0,C3/D3-1&gt;-0.005)),"≈",C3/D3-1))),"—")</f>
        <v>7.6038647342995169</v>
      </c>
      <c r="G3" s="36">
        <v>21.979999999999997</v>
      </c>
      <c r="H3" s="56"/>
      <c r="I3" s="6">
        <f>SUM(BG3:BR3)</f>
        <v>21.979999999999997</v>
      </c>
      <c r="K3" s="36">
        <v>23.85</v>
      </c>
      <c r="L3" s="36">
        <v>36.033130999999997</v>
      </c>
      <c r="M3" s="36">
        <v>7.1783999999999999</v>
      </c>
      <c r="N3" s="36">
        <v>25.844200000000001</v>
      </c>
      <c r="O3" s="36">
        <v>13.143000000000001</v>
      </c>
      <c r="P3" s="36">
        <v>12.560599999999999</v>
      </c>
      <c r="Q3" s="36">
        <v>6.2000999999999999</v>
      </c>
      <c r="R3" s="36">
        <v>6.2835999999999999</v>
      </c>
      <c r="S3" s="36">
        <v>6.4800000000000003E-4</v>
      </c>
      <c r="T3" s="36">
        <v>6.266</v>
      </c>
      <c r="U3" s="36">
        <v>0</v>
      </c>
      <c r="V3" s="36">
        <v>2E-3</v>
      </c>
      <c r="W3" s="36">
        <v>1.8E-3</v>
      </c>
      <c r="X3" s="36"/>
      <c r="Y3" s="36">
        <v>5.6099999999999998E-4</v>
      </c>
      <c r="Z3" s="36">
        <v>4.0410000000000004</v>
      </c>
      <c r="AA3" s="36">
        <v>5.9000000000000003E-4</v>
      </c>
      <c r="AB3" s="36">
        <v>5.5999999999999995E-4</v>
      </c>
      <c r="AC3" s="36"/>
      <c r="AD3" s="36">
        <v>2.7100000000000002E-3</v>
      </c>
      <c r="AE3" s="36">
        <v>1.643</v>
      </c>
      <c r="AF3" s="36">
        <v>1.64</v>
      </c>
      <c r="AG3" s="36">
        <v>2.86</v>
      </c>
      <c r="AH3" s="36">
        <v>3.44</v>
      </c>
      <c r="AI3" s="36">
        <v>3.4590000000000001</v>
      </c>
      <c r="AJ3" s="36">
        <v>3.4529999999999998</v>
      </c>
      <c r="AK3" s="36">
        <v>7.9199999999999995E-4</v>
      </c>
      <c r="AL3" s="36"/>
      <c r="AM3" s="36">
        <v>9.92</v>
      </c>
      <c r="AN3" s="36">
        <v>4.4999999999999997E-3</v>
      </c>
      <c r="AO3" s="36">
        <v>2.5000000000000001E-3</v>
      </c>
      <c r="AP3" s="36"/>
      <c r="AQ3" s="36">
        <v>7.5500000000000003E-4</v>
      </c>
      <c r="AR3" s="36">
        <v>5.6099999999999998E-4</v>
      </c>
      <c r="AS3" s="36"/>
      <c r="AT3" s="36"/>
      <c r="AU3" s="36">
        <v>2.3999999999999998E-3</v>
      </c>
      <c r="AV3" s="36">
        <v>3.87</v>
      </c>
      <c r="AW3" s="36">
        <v>4.202</v>
      </c>
      <c r="AX3" s="36">
        <v>2.1070000000000002</v>
      </c>
      <c r="AY3" s="36">
        <v>2.0870000000000002</v>
      </c>
      <c r="AZ3" s="36"/>
      <c r="BA3" s="36">
        <v>2.1</v>
      </c>
      <c r="BB3" s="36">
        <v>4.7</v>
      </c>
      <c r="BC3" s="36">
        <v>7.5500000000000003E-4</v>
      </c>
      <c r="BD3" s="36">
        <v>9.2400000000000002E-4</v>
      </c>
      <c r="BE3" s="36">
        <v>3.5000000000000001E-3</v>
      </c>
      <c r="BF3" s="36"/>
      <c r="BG3" s="36">
        <v>2.1</v>
      </c>
      <c r="BH3" s="36">
        <v>2.0699999999999998</v>
      </c>
      <c r="BI3" s="36">
        <v>17.809999999999999</v>
      </c>
    </row>
    <row r="4" spans="1:61" ht="11.25" customHeight="1" x14ac:dyDescent="0.25">
      <c r="A4" s="39"/>
      <c r="B4" s="37" t="s">
        <v>17</v>
      </c>
      <c r="C4" s="38"/>
      <c r="D4" s="38"/>
      <c r="E4" s="41" t="str">
        <f t="shared" ref="E4:E55" si="2">IF(OR(F4="=",F4="≈",F4="—"),"",IF(F4&gt;0,"",IF(F4&lt;0,"","")))</f>
        <v/>
      </c>
      <c r="F4" s="23" t="str">
        <f t="shared" ref="F4:F55" si="3">IFERROR(IF(C4/D4-1=0,"=",IF(C4/D4-1=-1,"—",IF(OR(AND(C4/D4-1&lt;0.005,C4/D4-1&gt;0), AND(C4/D4-1&lt;0,C4/D4-1&gt;-0.005)),"≈",C4/D4-1))),"—")</f>
        <v>—</v>
      </c>
      <c r="G4" s="38">
        <v>0</v>
      </c>
      <c r="H4" s="56"/>
      <c r="I4" s="6">
        <f t="shared" ref="I4:I55" si="4">SUM(BG4:BR4)</f>
        <v>0</v>
      </c>
      <c r="K4" s="38">
        <v>23.85</v>
      </c>
      <c r="L4" s="38">
        <v>1.3100000000000001E-4</v>
      </c>
      <c r="M4" s="38">
        <v>1.9E-3</v>
      </c>
      <c r="N4" s="38">
        <v>3.3999999999999998E-3</v>
      </c>
      <c r="O4" s="38">
        <v>13.143000000000001</v>
      </c>
      <c r="P4" s="38">
        <v>3.5999999999999999E-3</v>
      </c>
      <c r="Q4" s="38">
        <v>1E-4</v>
      </c>
      <c r="R4" s="38">
        <v>6.2835999999999999</v>
      </c>
      <c r="S4" s="38">
        <v>6.4800000000000003E-4</v>
      </c>
      <c r="T4" s="38">
        <v>6.266</v>
      </c>
      <c r="U4" s="38"/>
      <c r="V4" s="38">
        <v>2E-3</v>
      </c>
      <c r="W4" s="38">
        <v>1.8E-3</v>
      </c>
      <c r="X4" s="38"/>
      <c r="Y4" s="38">
        <v>5.6099999999999998E-4</v>
      </c>
      <c r="Z4" s="38">
        <v>3.0400000000000002E-3</v>
      </c>
      <c r="AA4" s="38">
        <v>5.9000000000000003E-4</v>
      </c>
      <c r="AB4" s="38">
        <v>5.5999999999999995E-4</v>
      </c>
      <c r="AC4" s="38"/>
      <c r="AD4" s="38">
        <v>2.7100000000000002E-3</v>
      </c>
      <c r="AE4" s="38">
        <v>5.6099999999999998E-4</v>
      </c>
      <c r="AF4" s="38"/>
      <c r="AG4" s="38"/>
      <c r="AH4" s="38">
        <v>9.3999999999999997E-4</v>
      </c>
      <c r="AI4" s="38"/>
      <c r="AJ4" s="38"/>
      <c r="AK4" s="38">
        <v>7.9199999999999995E-4</v>
      </c>
      <c r="AL4" s="38"/>
      <c r="AM4" s="38">
        <v>9.92</v>
      </c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</row>
    <row r="5" spans="1:61" ht="11.25" customHeight="1" x14ac:dyDescent="0.25">
      <c r="A5" s="39"/>
      <c r="B5" s="37" t="s">
        <v>87</v>
      </c>
      <c r="C5" s="38">
        <v>4.96</v>
      </c>
      <c r="D5" s="38">
        <v>2.0699999999999998</v>
      </c>
      <c r="E5" s="41" t="str">
        <f t="shared" si="2"/>
        <v></v>
      </c>
      <c r="F5" s="23">
        <f t="shared" si="3"/>
        <v>1.3961352657004831</v>
      </c>
      <c r="G5" s="38">
        <v>9.129999999999999</v>
      </c>
      <c r="H5" s="56"/>
      <c r="I5" s="6">
        <f t="shared" si="4"/>
        <v>9.129999999999999</v>
      </c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>
        <v>2.0880000000000001</v>
      </c>
      <c r="AW5" s="38">
        <v>4.202</v>
      </c>
      <c r="AX5" s="38">
        <v>2.1070000000000002</v>
      </c>
      <c r="AY5" s="38">
        <v>2.0870000000000002</v>
      </c>
      <c r="AZ5" s="38"/>
      <c r="BA5" s="38">
        <v>2.0979999999999999</v>
      </c>
      <c r="BB5" s="38">
        <v>4.21</v>
      </c>
      <c r="BC5" s="38"/>
      <c r="BD5" s="38"/>
      <c r="BE5" s="38"/>
      <c r="BF5" s="38"/>
      <c r="BG5" s="38">
        <v>2.1</v>
      </c>
      <c r="BH5" s="38">
        <v>2.0699999999999998</v>
      </c>
      <c r="BI5" s="38">
        <v>4.96</v>
      </c>
    </row>
    <row r="6" spans="1:61" ht="11.25" customHeight="1" x14ac:dyDescent="0.25">
      <c r="A6" s="39"/>
      <c r="B6" s="37" t="s">
        <v>31</v>
      </c>
      <c r="C6" s="38">
        <v>12.85</v>
      </c>
      <c r="D6" s="38"/>
      <c r="E6" s="41" t="str">
        <f t="shared" si="2"/>
        <v/>
      </c>
      <c r="F6" s="23" t="str">
        <f t="shared" si="3"/>
        <v>—</v>
      </c>
      <c r="G6" s="38">
        <v>12.852</v>
      </c>
      <c r="H6" s="56"/>
      <c r="I6" s="6">
        <f t="shared" si="4"/>
        <v>12.852</v>
      </c>
      <c r="K6" s="38">
        <v>23.85</v>
      </c>
      <c r="L6" s="38">
        <v>1.3100000000000001E-4</v>
      </c>
      <c r="M6" s="38">
        <v>1.9E-3</v>
      </c>
      <c r="N6" s="38">
        <v>3.3999999999999998E-3</v>
      </c>
      <c r="O6" s="38">
        <v>13.143000000000001</v>
      </c>
      <c r="P6" s="38">
        <v>3.5999999999999999E-3</v>
      </c>
      <c r="Q6" s="38">
        <v>1E-4</v>
      </c>
      <c r="R6" s="38">
        <v>6.2835999999999999</v>
      </c>
      <c r="S6" s="38">
        <v>6.4800000000000003E-4</v>
      </c>
      <c r="T6" s="38">
        <v>6.266</v>
      </c>
      <c r="U6" s="38"/>
      <c r="V6" s="38">
        <v>2E-3</v>
      </c>
      <c r="W6" s="38">
        <v>1.8E-3</v>
      </c>
      <c r="X6" s="38"/>
      <c r="Y6" s="38">
        <v>5.6099999999999998E-4</v>
      </c>
      <c r="Z6" s="38">
        <v>3.0400000000000002E-3</v>
      </c>
      <c r="AA6" s="38">
        <v>5.9000000000000003E-4</v>
      </c>
      <c r="AB6" s="38">
        <v>5.5999999999999995E-4</v>
      </c>
      <c r="AC6" s="38"/>
      <c r="AD6" s="38">
        <v>2.7100000000000002E-3</v>
      </c>
      <c r="AE6" s="38">
        <v>5.6099999999999998E-4</v>
      </c>
      <c r="AF6" s="38"/>
      <c r="AG6" s="38"/>
      <c r="AH6" s="38">
        <v>9.3999999999999997E-4</v>
      </c>
      <c r="AI6" s="38"/>
      <c r="AJ6" s="38"/>
      <c r="AK6" s="38">
        <v>7.9199999999999995E-4</v>
      </c>
      <c r="AL6" s="38"/>
      <c r="AM6" s="38"/>
      <c r="AN6" s="38">
        <v>4.4999999999999997E-3</v>
      </c>
      <c r="AO6" s="38">
        <v>2.5000000000000001E-3</v>
      </c>
      <c r="AP6" s="38"/>
      <c r="AQ6" s="38">
        <v>7.5500000000000003E-4</v>
      </c>
      <c r="AR6" s="38">
        <v>5.6099999999999998E-4</v>
      </c>
      <c r="AS6" s="38"/>
      <c r="AT6" s="38"/>
      <c r="AU6" s="38">
        <v>2.3999999999999998E-3</v>
      </c>
      <c r="AV6" s="38"/>
      <c r="AW6" s="38"/>
      <c r="AX6" s="38"/>
      <c r="AY6" s="38"/>
      <c r="AZ6" s="38"/>
      <c r="BA6" s="38">
        <v>2.9780000000000002E-3</v>
      </c>
      <c r="BB6" s="38"/>
      <c r="BC6" s="38">
        <v>7.5500000000000003E-4</v>
      </c>
      <c r="BD6" s="38">
        <v>9.2400000000000002E-4</v>
      </c>
      <c r="BE6" s="38">
        <v>3.5000000000000001E-3</v>
      </c>
      <c r="BF6" s="38"/>
      <c r="BG6" s="38">
        <v>2E-3</v>
      </c>
      <c r="BH6" s="38"/>
      <c r="BI6" s="38">
        <v>12.85</v>
      </c>
    </row>
    <row r="7" spans="1:61" ht="11.25" customHeight="1" x14ac:dyDescent="0.25">
      <c r="A7" s="39"/>
      <c r="B7" s="37" t="s">
        <v>16</v>
      </c>
      <c r="C7" s="38"/>
      <c r="D7" s="38"/>
      <c r="E7" s="41" t="str">
        <f t="shared" si="2"/>
        <v/>
      </c>
      <c r="F7" s="23" t="str">
        <f t="shared" si="3"/>
        <v>—</v>
      </c>
      <c r="G7" s="38">
        <v>0</v>
      </c>
      <c r="H7" s="56"/>
      <c r="I7" s="6">
        <f t="shared" si="4"/>
        <v>0</v>
      </c>
      <c r="K7" s="38"/>
      <c r="L7" s="38"/>
      <c r="M7" s="38"/>
      <c r="N7" s="38">
        <v>5.6459000000000001</v>
      </c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>
        <v>0.49099999999999999</v>
      </c>
      <c r="BC7" s="38"/>
      <c r="BD7" s="38"/>
      <c r="BE7" s="38"/>
      <c r="BF7" s="38"/>
      <c r="BG7" s="38"/>
      <c r="BH7" s="38"/>
      <c r="BI7" s="38"/>
    </row>
    <row r="8" spans="1:61" ht="11.25" customHeight="1" x14ac:dyDescent="0.25">
      <c r="A8" s="39"/>
      <c r="B8" s="37" t="s">
        <v>11</v>
      </c>
      <c r="C8" s="38"/>
      <c r="D8" s="38"/>
      <c r="E8" s="41" t="str">
        <f t="shared" si="2"/>
        <v/>
      </c>
      <c r="F8" s="23" t="str">
        <f t="shared" si="3"/>
        <v>—</v>
      </c>
      <c r="G8" s="38">
        <v>0</v>
      </c>
      <c r="H8" s="56"/>
      <c r="I8" s="6">
        <f t="shared" si="4"/>
        <v>0</v>
      </c>
      <c r="K8" s="38"/>
      <c r="L8" s="38"/>
      <c r="M8" s="38">
        <v>3.5474999999999999</v>
      </c>
      <c r="N8" s="38">
        <v>2.0121000000000002</v>
      </c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>
        <v>4.0380000000000003</v>
      </c>
      <c r="AA8" s="38"/>
      <c r="AB8" s="38"/>
      <c r="AC8" s="38"/>
      <c r="AD8" s="38"/>
      <c r="AE8" s="38">
        <v>1.64</v>
      </c>
      <c r="AF8" s="38">
        <v>1.64</v>
      </c>
      <c r="AG8" s="38">
        <v>2.86</v>
      </c>
      <c r="AH8" s="38">
        <v>3.443673</v>
      </c>
      <c r="AI8" s="38">
        <v>3.4590000000000001</v>
      </c>
      <c r="AJ8" s="38">
        <v>3.4529999999999998</v>
      </c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>
        <v>1.7835000000000001</v>
      </c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</row>
    <row r="9" spans="1:61" ht="11.25" customHeight="1" x14ac:dyDescent="0.25">
      <c r="A9" s="24" t="s">
        <v>7</v>
      </c>
      <c r="B9" s="33"/>
      <c r="C9" s="26"/>
      <c r="D9" s="26"/>
      <c r="E9" s="27" t="str">
        <f t="shared" si="2"/>
        <v/>
      </c>
      <c r="F9" s="28" t="str">
        <f t="shared" si="3"/>
        <v>—</v>
      </c>
      <c r="G9" s="26">
        <v>1.49</v>
      </c>
      <c r="H9" s="56"/>
      <c r="I9" s="6">
        <f t="shared" si="4"/>
        <v>1.49</v>
      </c>
      <c r="J9" s="7"/>
      <c r="K9" s="26">
        <v>15.678599999999999</v>
      </c>
      <c r="L9" s="26">
        <v>25.069700000000001</v>
      </c>
      <c r="M9" s="26">
        <v>10.574400000000001</v>
      </c>
      <c r="N9" s="26">
        <v>11.6873</v>
      </c>
      <c r="O9" s="26">
        <v>4.16</v>
      </c>
      <c r="P9" s="26">
        <v>4.0359999999999996</v>
      </c>
      <c r="Q9" s="26">
        <v>1.605</v>
      </c>
      <c r="R9" s="26">
        <v>4.3642700000000003</v>
      </c>
      <c r="S9" s="26">
        <v>0</v>
      </c>
      <c r="T9" s="26">
        <v>5.5750000000000002</v>
      </c>
      <c r="U9" s="26">
        <v>0</v>
      </c>
      <c r="V9" s="26">
        <v>3.4660000000000002</v>
      </c>
      <c r="W9" s="26">
        <v>10.4466</v>
      </c>
      <c r="X9" s="26">
        <v>5.1369999999999996</v>
      </c>
      <c r="Y9" s="26">
        <v>5.12</v>
      </c>
      <c r="Z9" s="26">
        <v>5.7069999999999999</v>
      </c>
      <c r="AA9" s="26">
        <v>5.3019999999999996</v>
      </c>
      <c r="AB9" s="26">
        <v>4.7880000000000003</v>
      </c>
      <c r="AC9" s="26">
        <v>5.1177999999999999</v>
      </c>
      <c r="AD9" s="26">
        <v>6.13</v>
      </c>
      <c r="AE9" s="26">
        <v>3.3959999999999999</v>
      </c>
      <c r="AF9" s="26">
        <v>5.08</v>
      </c>
      <c r="AG9" s="26"/>
      <c r="AH9" s="26">
        <v>1.744</v>
      </c>
      <c r="AI9" s="26">
        <v>1.698</v>
      </c>
      <c r="AJ9" s="26">
        <v>10.59</v>
      </c>
      <c r="AK9" s="26">
        <v>12.1564</v>
      </c>
      <c r="AL9" s="26"/>
      <c r="AM9" s="26">
        <v>2.59</v>
      </c>
      <c r="AN9" s="26"/>
      <c r="AO9" s="26">
        <v>5.4820000000000002</v>
      </c>
      <c r="AP9" s="26">
        <v>1.6</v>
      </c>
      <c r="AQ9" s="26"/>
      <c r="AR9" s="26">
        <v>3.4329999999999998</v>
      </c>
      <c r="AS9" s="26">
        <v>5.16</v>
      </c>
      <c r="AT9" s="26">
        <v>2.9180000000000001</v>
      </c>
      <c r="AU9" s="26">
        <v>6.758</v>
      </c>
      <c r="AV9" s="26">
        <v>2.0760000000000001</v>
      </c>
      <c r="AW9" s="26">
        <v>5.5170000000000003</v>
      </c>
      <c r="AX9" s="26">
        <v>7.6958000000000002</v>
      </c>
      <c r="AY9" s="26">
        <v>4.0952999999999999</v>
      </c>
      <c r="AZ9" s="26">
        <v>6.0179</v>
      </c>
      <c r="BA9" s="26"/>
      <c r="BB9" s="26"/>
      <c r="BC9" s="26"/>
      <c r="BD9" s="26">
        <v>1.452</v>
      </c>
      <c r="BE9" s="26">
        <v>1</v>
      </c>
      <c r="BF9" s="26">
        <v>1.99</v>
      </c>
      <c r="BG9" s="26">
        <v>1.49</v>
      </c>
      <c r="BH9" s="26"/>
      <c r="BI9" s="26"/>
    </row>
    <row r="10" spans="1:61" ht="11.25" customHeight="1" x14ac:dyDescent="0.25">
      <c r="A10" s="29"/>
      <c r="B10" s="32" t="s">
        <v>32</v>
      </c>
      <c r="C10" s="30"/>
      <c r="D10" s="30"/>
      <c r="E10" s="27" t="str">
        <f t="shared" si="2"/>
        <v/>
      </c>
      <c r="F10" s="31" t="str">
        <f t="shared" si="3"/>
        <v>—</v>
      </c>
      <c r="G10" s="30">
        <v>0</v>
      </c>
      <c r="H10" s="56"/>
      <c r="I10" s="6">
        <f t="shared" si="4"/>
        <v>0</v>
      </c>
      <c r="J10" s="7"/>
      <c r="K10" s="30">
        <v>7.5900999999999996</v>
      </c>
      <c r="L10" s="30">
        <v>22.565000000000001</v>
      </c>
      <c r="M10" s="30">
        <v>2.0028999999999999</v>
      </c>
      <c r="N10" s="30">
        <v>1.2462</v>
      </c>
      <c r="O10" s="30"/>
      <c r="P10" s="30">
        <v>0.59699999999999998</v>
      </c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</row>
    <row r="11" spans="1:61" ht="11.25" customHeight="1" x14ac:dyDescent="0.25">
      <c r="A11" s="29"/>
      <c r="B11" s="32" t="s">
        <v>30</v>
      </c>
      <c r="C11" s="30"/>
      <c r="D11" s="30"/>
      <c r="E11" s="27" t="str">
        <f t="shared" si="2"/>
        <v/>
      </c>
      <c r="F11" s="31" t="str">
        <f t="shared" si="3"/>
        <v>—</v>
      </c>
      <c r="G11" s="30">
        <v>0</v>
      </c>
      <c r="H11" s="55"/>
      <c r="I11" s="6">
        <f t="shared" si="4"/>
        <v>0</v>
      </c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>
        <v>2.5859999999999999</v>
      </c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</row>
    <row r="12" spans="1:61" ht="11.25" customHeight="1" x14ac:dyDescent="0.25">
      <c r="A12" s="29"/>
      <c r="B12" s="32" t="s">
        <v>11</v>
      </c>
      <c r="C12" s="30"/>
      <c r="D12" s="30"/>
      <c r="E12" s="27" t="str">
        <f t="shared" si="2"/>
        <v/>
      </c>
      <c r="F12" s="31" t="str">
        <f t="shared" si="3"/>
        <v>—</v>
      </c>
      <c r="G12" s="30">
        <v>1.49</v>
      </c>
      <c r="H12" s="55"/>
      <c r="I12" s="6">
        <f t="shared" si="4"/>
        <v>1.49</v>
      </c>
      <c r="K12" s="30"/>
      <c r="L12" s="30"/>
      <c r="M12" s="30">
        <v>8.5715000000000003</v>
      </c>
      <c r="N12" s="30">
        <v>5.6429</v>
      </c>
      <c r="O12" s="30"/>
      <c r="P12" s="30">
        <v>3.4390000000000001</v>
      </c>
      <c r="Q12" s="30">
        <v>1.605</v>
      </c>
      <c r="R12" s="30">
        <v>3.5703</v>
      </c>
      <c r="S12" s="30"/>
      <c r="T12" s="30">
        <v>5.5750000000000002</v>
      </c>
      <c r="U12" s="30"/>
      <c r="V12" s="30">
        <v>3.4660000000000002</v>
      </c>
      <c r="W12" s="30">
        <v>5.1769999999999996</v>
      </c>
      <c r="X12" s="30">
        <v>5.1369999999999996</v>
      </c>
      <c r="Y12" s="30">
        <v>5.12</v>
      </c>
      <c r="Z12" s="30">
        <v>5.7039999999999997</v>
      </c>
      <c r="AA12" s="30">
        <v>5.3019999999999996</v>
      </c>
      <c r="AB12" s="30">
        <v>4.7880000000000003</v>
      </c>
      <c r="AC12" s="30">
        <v>5.1177999999999999</v>
      </c>
      <c r="AD12" s="30">
        <v>6.13</v>
      </c>
      <c r="AE12" s="30">
        <v>3.3959999999999999</v>
      </c>
      <c r="AF12" s="30">
        <v>5.08</v>
      </c>
      <c r="AG12" s="30"/>
      <c r="AH12" s="30">
        <v>1.744</v>
      </c>
      <c r="AI12" s="30">
        <v>1.698</v>
      </c>
      <c r="AJ12" s="30">
        <v>10.59</v>
      </c>
      <c r="AK12" s="30">
        <v>12.1564</v>
      </c>
      <c r="AL12" s="30"/>
      <c r="AM12" s="30"/>
      <c r="AN12" s="30"/>
      <c r="AO12" s="30">
        <v>3.581</v>
      </c>
      <c r="AP12" s="30">
        <v>1.6</v>
      </c>
      <c r="AQ12" s="30"/>
      <c r="AR12" s="30">
        <v>3.4329999999999998</v>
      </c>
      <c r="AS12" s="30">
        <v>5.16</v>
      </c>
      <c r="AT12" s="30">
        <v>2.9180000000000001</v>
      </c>
      <c r="AU12" s="30">
        <v>6.758</v>
      </c>
      <c r="AV12" s="30">
        <v>2.0760000000000001</v>
      </c>
      <c r="AW12" s="30">
        <v>5.5170000000000003</v>
      </c>
      <c r="AX12" s="30">
        <v>7.6929999999999996</v>
      </c>
      <c r="AY12" s="30">
        <v>4.0952999999999999</v>
      </c>
      <c r="AZ12" s="30">
        <v>6.0179</v>
      </c>
      <c r="BA12" s="30"/>
      <c r="BB12" s="30"/>
      <c r="BC12" s="30"/>
      <c r="BD12" s="30">
        <v>1.452</v>
      </c>
      <c r="BE12" s="30">
        <v>1</v>
      </c>
      <c r="BF12" s="30">
        <v>1.99</v>
      </c>
      <c r="BG12" s="30">
        <v>1.49</v>
      </c>
      <c r="BH12" s="30"/>
      <c r="BI12" s="30"/>
    </row>
    <row r="13" spans="1:61" ht="11.25" customHeight="1" x14ac:dyDescent="0.25">
      <c r="A13" s="29"/>
      <c r="B13" s="32" t="s">
        <v>31</v>
      </c>
      <c r="C13" s="30"/>
      <c r="D13" s="30"/>
      <c r="E13" s="27" t="str">
        <f t="shared" si="2"/>
        <v/>
      </c>
      <c r="F13" s="31" t="str">
        <f t="shared" si="3"/>
        <v>—</v>
      </c>
      <c r="G13" s="30">
        <v>0</v>
      </c>
      <c r="H13" s="55"/>
      <c r="I13" s="6">
        <f t="shared" si="4"/>
        <v>0</v>
      </c>
      <c r="K13" s="30">
        <v>5.6463999999999999</v>
      </c>
      <c r="L13" s="30">
        <v>2.5047000000000001</v>
      </c>
      <c r="M13" s="30"/>
      <c r="N13" s="30"/>
      <c r="O13" s="30">
        <v>4.16</v>
      </c>
      <c r="P13" s="30"/>
      <c r="Q13" s="30"/>
      <c r="R13" s="30">
        <v>0.79396999999999995</v>
      </c>
      <c r="S13" s="30"/>
      <c r="T13" s="30"/>
      <c r="U13" s="30"/>
      <c r="V13" s="30"/>
      <c r="W13" s="30">
        <v>5.2690000000000001</v>
      </c>
      <c r="X13" s="30"/>
      <c r="Y13" s="30"/>
      <c r="Z13" s="30">
        <v>2.7469999999999999E-3</v>
      </c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>
        <v>3.5999999999999999E-3</v>
      </c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>
        <v>2.7659999999999998E-3</v>
      </c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</row>
    <row r="14" spans="1:61" ht="11.25" customHeight="1" x14ac:dyDescent="0.25">
      <c r="A14" s="29"/>
      <c r="B14" s="32" t="s">
        <v>73</v>
      </c>
      <c r="C14" s="30"/>
      <c r="D14" s="30"/>
      <c r="E14" s="27" t="str">
        <f t="shared" si="2"/>
        <v/>
      </c>
      <c r="F14" s="31" t="str">
        <f t="shared" si="3"/>
        <v>—</v>
      </c>
      <c r="G14" s="30">
        <v>0</v>
      </c>
      <c r="H14" s="55"/>
      <c r="I14" s="6">
        <f t="shared" si="4"/>
        <v>0</v>
      </c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>
        <v>1.907</v>
      </c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</row>
    <row r="15" spans="1:61" ht="11.25" customHeight="1" x14ac:dyDescent="0.25">
      <c r="A15" s="29"/>
      <c r="B15" s="32" t="s">
        <v>16</v>
      </c>
      <c r="C15" s="30"/>
      <c r="D15" s="30"/>
      <c r="E15" s="27" t="str">
        <f t="shared" si="2"/>
        <v/>
      </c>
      <c r="F15" s="31" t="str">
        <f t="shared" si="3"/>
        <v>—</v>
      </c>
      <c r="G15" s="30">
        <v>0</v>
      </c>
      <c r="H15" s="55"/>
      <c r="I15" s="6">
        <f t="shared" si="4"/>
        <v>0</v>
      </c>
      <c r="K15" s="30"/>
      <c r="L15" s="30"/>
      <c r="M15" s="30"/>
      <c r="N15" s="30">
        <v>4.7981999999999996</v>
      </c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</row>
    <row r="16" spans="1:61" ht="11.25" customHeight="1" x14ac:dyDescent="0.25">
      <c r="A16" s="29"/>
      <c r="B16" s="32" t="s">
        <v>35</v>
      </c>
      <c r="C16" s="30"/>
      <c r="D16" s="30"/>
      <c r="E16" s="27" t="str">
        <f t="shared" si="2"/>
        <v/>
      </c>
      <c r="F16" s="31" t="str">
        <f t="shared" si="3"/>
        <v>—</v>
      </c>
      <c r="G16" s="30">
        <v>0</v>
      </c>
      <c r="H16" s="55"/>
      <c r="I16" s="6">
        <f t="shared" si="4"/>
        <v>0</v>
      </c>
      <c r="K16" s="30">
        <v>2.4420999999999999</v>
      </c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</row>
    <row r="17" spans="1:61" ht="11.25" customHeight="1" x14ac:dyDescent="0.25">
      <c r="A17" s="34" t="s">
        <v>9</v>
      </c>
      <c r="B17" s="37"/>
      <c r="C17" s="36"/>
      <c r="D17" s="36"/>
      <c r="E17" s="18" t="str">
        <f t="shared" si="2"/>
        <v/>
      </c>
      <c r="F17" s="19" t="str">
        <f t="shared" si="3"/>
        <v>—</v>
      </c>
      <c r="G17" s="36">
        <v>0</v>
      </c>
      <c r="H17" s="55"/>
      <c r="I17" s="6">
        <f t="shared" si="4"/>
        <v>0</v>
      </c>
      <c r="K17" s="36">
        <v>12.694599999999999</v>
      </c>
      <c r="L17" s="36">
        <v>11.319880000000001</v>
      </c>
      <c r="M17" s="36">
        <v>9.6425000000000001</v>
      </c>
      <c r="N17" s="36">
        <v>5.2329999999999997</v>
      </c>
      <c r="O17" s="36">
        <v>3.87</v>
      </c>
      <c r="P17" s="36">
        <v>1.0369999999999999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0.97230000000000005</v>
      </c>
      <c r="X17" s="36"/>
      <c r="Y17" s="36">
        <v>0.94</v>
      </c>
      <c r="Z17" s="36">
        <v>0.98499999999999999</v>
      </c>
      <c r="AA17" s="36">
        <v>0.93899999999999995</v>
      </c>
      <c r="AB17" s="36">
        <v>0.98599999999999999</v>
      </c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</row>
    <row r="18" spans="1:61" ht="11.25" customHeight="1" x14ac:dyDescent="0.25">
      <c r="A18" s="39"/>
      <c r="B18" s="37" t="s">
        <v>35</v>
      </c>
      <c r="C18" s="38"/>
      <c r="D18" s="38"/>
      <c r="E18" s="18" t="str">
        <f t="shared" si="2"/>
        <v/>
      </c>
      <c r="F18" s="23" t="str">
        <f t="shared" si="3"/>
        <v>—</v>
      </c>
      <c r="G18" s="38">
        <v>0</v>
      </c>
      <c r="H18" s="55"/>
      <c r="I18" s="6">
        <f t="shared" si="4"/>
        <v>0</v>
      </c>
      <c r="K18" s="38">
        <v>4.6364000000000001</v>
      </c>
      <c r="L18" s="38">
        <v>5.2711800000000002</v>
      </c>
      <c r="M18" s="38">
        <v>4.7298</v>
      </c>
      <c r="N18" s="38">
        <v>5.2329999999999997</v>
      </c>
      <c r="O18" s="38">
        <v>1.9630000000000001</v>
      </c>
      <c r="P18" s="38">
        <v>1.0369999999999999</v>
      </c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</row>
    <row r="19" spans="1:61" ht="11.25" customHeight="1" x14ac:dyDescent="0.25">
      <c r="A19" s="39"/>
      <c r="B19" s="37" t="s">
        <v>37</v>
      </c>
      <c r="C19" s="38"/>
      <c r="D19" s="38"/>
      <c r="E19" s="18" t="str">
        <f t="shared" si="2"/>
        <v/>
      </c>
      <c r="F19" s="23" t="str">
        <f t="shared" si="3"/>
        <v>—</v>
      </c>
      <c r="G19" s="38">
        <v>0</v>
      </c>
      <c r="H19" s="55"/>
      <c r="I19" s="6">
        <f t="shared" si="4"/>
        <v>0</v>
      </c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>
        <v>0.97230000000000005</v>
      </c>
      <c r="X19" s="38"/>
      <c r="Y19" s="38">
        <v>0.94</v>
      </c>
      <c r="Z19" s="38">
        <v>0.98499999999999999</v>
      </c>
      <c r="AA19" s="38">
        <v>0.93899999999999995</v>
      </c>
      <c r="AB19" s="38">
        <v>0.98599999999999999</v>
      </c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</row>
    <row r="20" spans="1:61" ht="11.25" customHeight="1" x14ac:dyDescent="0.25">
      <c r="A20" s="39"/>
      <c r="B20" s="37" t="s">
        <v>34</v>
      </c>
      <c r="C20" s="38"/>
      <c r="D20" s="38"/>
      <c r="E20" s="18" t="str">
        <f t="shared" si="2"/>
        <v/>
      </c>
      <c r="F20" s="23" t="str">
        <f t="shared" si="3"/>
        <v>—</v>
      </c>
      <c r="G20" s="38">
        <v>0</v>
      </c>
      <c r="H20" s="55"/>
      <c r="I20" s="6">
        <f t="shared" si="4"/>
        <v>0</v>
      </c>
      <c r="K20" s="38">
        <v>8.0581999999999994</v>
      </c>
      <c r="L20" s="38">
        <v>6.0487000000000002</v>
      </c>
      <c r="M20" s="38">
        <v>4.9127000000000001</v>
      </c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</row>
    <row r="21" spans="1:61" ht="11.25" customHeight="1" x14ac:dyDescent="0.25">
      <c r="A21" s="34"/>
      <c r="B21" s="37" t="s">
        <v>39</v>
      </c>
      <c r="C21" s="38"/>
      <c r="D21" s="38"/>
      <c r="E21" s="18" t="str">
        <f t="shared" si="2"/>
        <v/>
      </c>
      <c r="F21" s="23" t="str">
        <f t="shared" si="3"/>
        <v>—</v>
      </c>
      <c r="G21" s="38">
        <v>0</v>
      </c>
      <c r="H21" s="55"/>
      <c r="I21" s="6">
        <f t="shared" si="4"/>
        <v>0</v>
      </c>
      <c r="K21" s="38"/>
      <c r="L21" s="38"/>
      <c r="M21" s="38"/>
      <c r="N21" s="38"/>
      <c r="O21" s="38">
        <v>1.907</v>
      </c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</row>
    <row r="22" spans="1:61" ht="11.25" customHeight="1" x14ac:dyDescent="0.25">
      <c r="A22" s="24" t="s">
        <v>6</v>
      </c>
      <c r="B22" s="33"/>
      <c r="C22" s="26">
        <v>3.95</v>
      </c>
      <c r="D22" s="26">
        <v>3.59E-4</v>
      </c>
      <c r="E22" s="27" t="str">
        <f t="shared" si="2"/>
        <v/>
      </c>
      <c r="F22" s="28" t="s">
        <v>104</v>
      </c>
      <c r="G22" s="26">
        <v>3.9703590000000002</v>
      </c>
      <c r="H22" s="56"/>
      <c r="I22" s="6">
        <f t="shared" si="4"/>
        <v>3.9703590000000002</v>
      </c>
      <c r="K22" s="26">
        <v>12.902949999999999</v>
      </c>
      <c r="L22" s="26">
        <v>10.406545000000001</v>
      </c>
      <c r="M22" s="26">
        <v>4.988213</v>
      </c>
      <c r="N22" s="26">
        <v>2.945227</v>
      </c>
      <c r="O22" s="26">
        <v>3.9189999999999996</v>
      </c>
      <c r="P22" s="26">
        <v>1.87</v>
      </c>
      <c r="Q22" s="26">
        <v>1.01</v>
      </c>
      <c r="R22" s="26">
        <v>0.93473799999999996</v>
      </c>
      <c r="S22" s="26">
        <v>0.90205400000000002</v>
      </c>
      <c r="T22" s="26">
        <v>1.91</v>
      </c>
      <c r="U22" s="26">
        <v>7.9279999999999999</v>
      </c>
      <c r="V22" s="26">
        <v>0.93700000000000006</v>
      </c>
      <c r="W22" s="26">
        <v>1.9650000000000001</v>
      </c>
      <c r="X22" s="26">
        <v>0.98</v>
      </c>
      <c r="Y22" s="26">
        <v>0.93300000000000005</v>
      </c>
      <c r="Z22" s="26">
        <v>2.9765999999999999</v>
      </c>
      <c r="AA22" s="26">
        <v>3.0110000000000001</v>
      </c>
      <c r="AB22" s="26">
        <v>0.95079999999999998</v>
      </c>
      <c r="AC22" s="26">
        <v>3.3</v>
      </c>
      <c r="AD22" s="26">
        <v>0.91600000000000004</v>
      </c>
      <c r="AE22" s="26">
        <v>0.90400000000000003</v>
      </c>
      <c r="AF22" s="26">
        <v>0.98199999999999998</v>
      </c>
      <c r="AG22" s="26">
        <v>3.02</v>
      </c>
      <c r="AH22" s="26"/>
      <c r="AI22" s="26">
        <v>1.879</v>
      </c>
      <c r="AJ22" s="26">
        <v>0.94</v>
      </c>
      <c r="AK22" s="26">
        <v>2.72</v>
      </c>
      <c r="AL22" s="26"/>
      <c r="AM22" s="26">
        <v>0.98</v>
      </c>
      <c r="AN22" s="26">
        <v>2.0790000000000002</v>
      </c>
      <c r="AO22" s="26">
        <v>3.9220000000000002</v>
      </c>
      <c r="AP22" s="26">
        <v>3.04</v>
      </c>
      <c r="AQ22" s="26">
        <v>2.9969999999999999</v>
      </c>
      <c r="AR22" s="26">
        <v>2.95</v>
      </c>
      <c r="AS22" s="26">
        <v>0.91900000000000004</v>
      </c>
      <c r="AT22" s="26">
        <v>1.89</v>
      </c>
      <c r="AU22" s="26">
        <v>0.01</v>
      </c>
      <c r="AV22" s="26">
        <v>1.4E-2</v>
      </c>
      <c r="AW22" s="26">
        <v>1.49E-2</v>
      </c>
      <c r="AX22" s="26">
        <v>1.8599999999999999E-4</v>
      </c>
      <c r="AY22" s="26">
        <v>2.0736500000000002</v>
      </c>
      <c r="AZ22" s="26">
        <v>2.0499999999999998</v>
      </c>
      <c r="BA22" s="26">
        <v>2.06</v>
      </c>
      <c r="BB22" s="26">
        <v>2.12</v>
      </c>
      <c r="BC22" s="26">
        <v>3</v>
      </c>
      <c r="BD22" s="26">
        <v>4.13</v>
      </c>
      <c r="BE22" s="26">
        <v>2.12</v>
      </c>
      <c r="BF22" s="26">
        <v>0.01</v>
      </c>
      <c r="BG22" s="26">
        <v>0.02</v>
      </c>
      <c r="BH22" s="26">
        <v>3.59E-4</v>
      </c>
      <c r="BI22" s="26">
        <v>3.95</v>
      </c>
    </row>
    <row r="23" spans="1:61" ht="11.25" customHeight="1" x14ac:dyDescent="0.25">
      <c r="A23" s="29"/>
      <c r="B23" s="32" t="s">
        <v>30</v>
      </c>
      <c r="C23" s="30"/>
      <c r="D23" s="30"/>
      <c r="E23" s="27" t="str">
        <f t="shared" si="2"/>
        <v/>
      </c>
      <c r="F23" s="31" t="str">
        <f t="shared" si="3"/>
        <v>—</v>
      </c>
      <c r="G23" s="30">
        <v>0</v>
      </c>
      <c r="H23" s="56"/>
      <c r="I23" s="6">
        <f t="shared" si="4"/>
        <v>0</v>
      </c>
      <c r="K23" s="30">
        <v>10.933999999999999</v>
      </c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</row>
    <row r="24" spans="1:61" ht="11.25" customHeight="1" x14ac:dyDescent="0.25">
      <c r="A24" s="29"/>
      <c r="B24" s="32" t="s">
        <v>31</v>
      </c>
      <c r="C24" s="30"/>
      <c r="D24" s="30">
        <v>3.59E-4</v>
      </c>
      <c r="E24" s="27" t="str">
        <f t="shared" si="2"/>
        <v/>
      </c>
      <c r="F24" s="31" t="str">
        <f t="shared" si="3"/>
        <v>—</v>
      </c>
      <c r="G24" s="30">
        <v>3.59E-4</v>
      </c>
      <c r="H24" s="56"/>
      <c r="I24" s="6">
        <f t="shared" si="4"/>
        <v>3.59E-4</v>
      </c>
      <c r="K24" s="30"/>
      <c r="L24" s="30">
        <v>9.3510000000000009</v>
      </c>
      <c r="M24" s="30">
        <v>1.67E-2</v>
      </c>
      <c r="N24" s="30">
        <v>1.27E-4</v>
      </c>
      <c r="O24" s="30"/>
      <c r="P24" s="30"/>
      <c r="Q24" s="30"/>
      <c r="R24" s="30">
        <v>2.43E-4</v>
      </c>
      <c r="S24" s="30">
        <v>5.3999999999999998E-5</v>
      </c>
      <c r="T24" s="30"/>
      <c r="U24" s="30"/>
      <c r="V24" s="30"/>
      <c r="W24" s="30">
        <v>7.5199999999999996E-4</v>
      </c>
      <c r="X24" s="30"/>
      <c r="Y24" s="30"/>
      <c r="Z24" s="30"/>
      <c r="AA24" s="30"/>
      <c r="AB24" s="30">
        <v>2.4000000000000001E-4</v>
      </c>
      <c r="AC24" s="30"/>
      <c r="AD24" s="30">
        <v>1.9199999999999998E-2</v>
      </c>
      <c r="AE24" s="30">
        <v>3.19E-4</v>
      </c>
      <c r="AF24" s="30">
        <v>0.02</v>
      </c>
      <c r="AG24" s="30"/>
      <c r="AH24" s="30"/>
      <c r="AI24" s="30"/>
      <c r="AJ24" s="30">
        <v>1E-3</v>
      </c>
      <c r="AK24" s="30"/>
      <c r="AL24" s="30"/>
      <c r="AM24" s="30">
        <v>0.01</v>
      </c>
      <c r="AN24" s="30"/>
      <c r="AO24" s="30"/>
      <c r="AP24" s="30">
        <v>0.01</v>
      </c>
      <c r="AQ24" s="30">
        <v>1.8000000000000001E-4</v>
      </c>
      <c r="AR24" s="30">
        <v>0.01</v>
      </c>
      <c r="AS24" s="30">
        <v>2.23E-4</v>
      </c>
      <c r="AT24" s="30"/>
      <c r="AU24" s="30">
        <v>1.8000000000000001E-4</v>
      </c>
      <c r="AV24" s="30"/>
      <c r="AW24" s="30">
        <v>3.48E-4</v>
      </c>
      <c r="AX24" s="30">
        <v>1.8599999999999999E-4</v>
      </c>
      <c r="AY24" s="30">
        <v>6.4700000000000001E-4</v>
      </c>
      <c r="AZ24" s="30"/>
      <c r="BA24" s="30"/>
      <c r="BB24" s="30">
        <v>1.2200000000000001E-2</v>
      </c>
      <c r="BC24" s="30">
        <v>1.8000000000000001E-4</v>
      </c>
      <c r="BD24" s="30"/>
      <c r="BE24" s="30"/>
      <c r="BF24" s="30"/>
      <c r="BG24" s="30"/>
      <c r="BH24" s="30">
        <v>3.59E-4</v>
      </c>
      <c r="BI24" s="30"/>
    </row>
    <row r="25" spans="1:61" ht="11.25" customHeight="1" x14ac:dyDescent="0.25">
      <c r="A25" s="29"/>
      <c r="B25" s="32" t="s">
        <v>17</v>
      </c>
      <c r="C25" s="30"/>
      <c r="D25" s="30"/>
      <c r="E25" s="27" t="str">
        <f t="shared" si="2"/>
        <v/>
      </c>
      <c r="F25" s="31" t="str">
        <f t="shared" si="3"/>
        <v>—</v>
      </c>
      <c r="G25" s="30">
        <v>0.02</v>
      </c>
      <c r="H25" s="56"/>
      <c r="I25" s="6">
        <f t="shared" si="4"/>
        <v>0.02</v>
      </c>
      <c r="K25" s="30"/>
      <c r="L25" s="30">
        <v>9.9450000000000007E-3</v>
      </c>
      <c r="M25" s="30">
        <v>1.2999999999999999E-5</v>
      </c>
      <c r="N25" s="30">
        <v>9.9000000000000008E-3</v>
      </c>
      <c r="O25" s="30">
        <v>0.01</v>
      </c>
      <c r="P25" s="30"/>
      <c r="Q25" s="30"/>
      <c r="R25" s="30">
        <v>9.9450000000000007E-3</v>
      </c>
      <c r="S25" s="30">
        <v>1.4E-2</v>
      </c>
      <c r="T25" s="30"/>
      <c r="U25" s="30">
        <v>1.6E-2</v>
      </c>
      <c r="V25" s="30"/>
      <c r="W25" s="30"/>
      <c r="X25" s="30">
        <v>1.9800000000000002E-2</v>
      </c>
      <c r="Y25" s="30"/>
      <c r="Z25" s="30">
        <v>9.9000000000000008E-3</v>
      </c>
      <c r="AA25" s="30">
        <v>3.4000000000000002E-2</v>
      </c>
      <c r="AB25" s="30">
        <v>1.6000000000000001E-4</v>
      </c>
      <c r="AC25" s="30">
        <v>2.4E-2</v>
      </c>
      <c r="AD25" s="30"/>
      <c r="AE25" s="30"/>
      <c r="AF25" s="30">
        <v>9.9000000000000008E-3</v>
      </c>
      <c r="AG25" s="30"/>
      <c r="AH25" s="30"/>
      <c r="AI25" s="30"/>
      <c r="AJ25" s="30">
        <v>1.44E-2</v>
      </c>
      <c r="AK25" s="30"/>
      <c r="AL25" s="30"/>
      <c r="AM25" s="30">
        <v>3.4000000000000002E-2</v>
      </c>
      <c r="AN25" s="30">
        <v>1.9E-2</v>
      </c>
      <c r="AO25" s="30">
        <v>3.4699999999999998E-4</v>
      </c>
      <c r="AP25" s="30">
        <v>0.02</v>
      </c>
      <c r="AQ25" s="30"/>
      <c r="AR25" s="30"/>
      <c r="AS25" s="30">
        <v>7.7000000000000002E-3</v>
      </c>
      <c r="AT25" s="30">
        <v>9.9000000000000008E-3</v>
      </c>
      <c r="AU25" s="30">
        <v>9.9999000000000008E-3</v>
      </c>
      <c r="AV25" s="30">
        <v>1.4E-2</v>
      </c>
      <c r="AW25" s="30">
        <v>1.46E-2</v>
      </c>
      <c r="AX25" s="30"/>
      <c r="AY25" s="30">
        <v>9.9450000000000007E-3</v>
      </c>
      <c r="AZ25" s="30">
        <v>9.9000000000000008E-3</v>
      </c>
      <c r="BA25" s="30">
        <v>1.9890000000000001E-2</v>
      </c>
      <c r="BB25" s="30">
        <v>9.9000000000000008E-3</v>
      </c>
      <c r="BC25" s="30"/>
      <c r="BD25" s="30">
        <v>1.18E-4</v>
      </c>
      <c r="BE25" s="30">
        <v>0.02</v>
      </c>
      <c r="BF25" s="30">
        <v>0.01</v>
      </c>
      <c r="BG25" s="30">
        <v>0.02</v>
      </c>
      <c r="BH25" s="30"/>
      <c r="BI25" s="30"/>
    </row>
    <row r="26" spans="1:61" ht="11.25" customHeight="1" x14ac:dyDescent="0.25">
      <c r="A26" s="29"/>
      <c r="B26" s="32" t="s">
        <v>11</v>
      </c>
      <c r="C26" s="30"/>
      <c r="D26" s="30"/>
      <c r="E26" s="27" t="str">
        <f t="shared" si="2"/>
        <v/>
      </c>
      <c r="F26" s="31" t="str">
        <f t="shared" si="3"/>
        <v>—</v>
      </c>
      <c r="G26" s="30">
        <v>0</v>
      </c>
      <c r="H26" s="56"/>
      <c r="I26" s="6">
        <f t="shared" si="4"/>
        <v>0</v>
      </c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>
        <v>6.048</v>
      </c>
      <c r="V26" s="30"/>
      <c r="W26" s="30"/>
      <c r="X26" s="30"/>
      <c r="Y26" s="30"/>
      <c r="Z26" s="30">
        <v>2.0369999999999999</v>
      </c>
      <c r="AA26" s="30">
        <v>2.0390000000000001</v>
      </c>
      <c r="AB26" s="30"/>
      <c r="AC26" s="30">
        <v>2.3410000000000002</v>
      </c>
      <c r="AD26" s="30"/>
      <c r="AE26" s="30"/>
      <c r="AF26" s="30"/>
      <c r="AG26" s="30">
        <v>2.1</v>
      </c>
      <c r="AH26" s="30"/>
      <c r="AI26" s="30"/>
      <c r="AJ26" s="30"/>
      <c r="AK26" s="30">
        <v>1.786</v>
      </c>
      <c r="AL26" s="30"/>
      <c r="AM26" s="30"/>
      <c r="AN26" s="30">
        <v>2.0590000000000002</v>
      </c>
      <c r="AO26" s="30">
        <v>2.0590000000000002</v>
      </c>
      <c r="AP26" s="30">
        <v>2.1</v>
      </c>
      <c r="AQ26" s="30">
        <v>2.0979000000000001</v>
      </c>
      <c r="AR26" s="30">
        <v>2.0649999999999999</v>
      </c>
      <c r="AS26" s="30">
        <v>1.5999999999999999E-5</v>
      </c>
      <c r="AT26" s="30">
        <v>4.0099999999999999E-4</v>
      </c>
      <c r="AU26" s="30"/>
      <c r="AV26" s="30"/>
      <c r="AW26" s="30"/>
      <c r="AX26" s="30"/>
      <c r="AY26" s="30"/>
      <c r="AZ26" s="30"/>
      <c r="BA26" s="30"/>
      <c r="BB26" s="30"/>
      <c r="BC26" s="30">
        <v>2.097</v>
      </c>
      <c r="BD26" s="30"/>
      <c r="BE26" s="30"/>
      <c r="BF26" s="30"/>
      <c r="BG26" s="30"/>
      <c r="BH26" s="30"/>
      <c r="BI26" s="30"/>
    </row>
    <row r="27" spans="1:61" ht="11.25" customHeight="1" x14ac:dyDescent="0.25">
      <c r="A27" s="29"/>
      <c r="B27" s="32" t="s">
        <v>37</v>
      </c>
      <c r="C27" s="30">
        <v>3.95</v>
      </c>
      <c r="D27" s="30"/>
      <c r="E27" s="27" t="str">
        <f t="shared" si="2"/>
        <v/>
      </c>
      <c r="F27" s="31" t="str">
        <f t="shared" si="3"/>
        <v>—</v>
      </c>
      <c r="G27" s="30">
        <v>3.95</v>
      </c>
      <c r="H27" s="56"/>
      <c r="I27" s="6">
        <f t="shared" si="4"/>
        <v>3.95</v>
      </c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>
        <v>0.89900000000000002</v>
      </c>
      <c r="BD27" s="30"/>
      <c r="BE27" s="30"/>
      <c r="BF27" s="30"/>
      <c r="BG27" s="30"/>
      <c r="BH27" s="30"/>
      <c r="BI27" s="30">
        <v>3.95</v>
      </c>
    </row>
    <row r="28" spans="1:61" ht="11.25" customHeight="1" x14ac:dyDescent="0.25">
      <c r="A28" s="29"/>
      <c r="B28" s="32" t="s">
        <v>87</v>
      </c>
      <c r="C28" s="30"/>
      <c r="D28" s="30"/>
      <c r="E28" s="27" t="str">
        <f t="shared" si="2"/>
        <v/>
      </c>
      <c r="F28" s="31" t="str">
        <f t="shared" si="3"/>
        <v>—</v>
      </c>
      <c r="G28" s="30">
        <v>0</v>
      </c>
      <c r="H28" s="56"/>
      <c r="I28" s="6">
        <f t="shared" si="4"/>
        <v>0</v>
      </c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>
        <v>2.0649999999999999</v>
      </c>
      <c r="AZ28" s="30">
        <v>2.04</v>
      </c>
      <c r="BA28" s="30">
        <v>2.0390000000000001</v>
      </c>
      <c r="BB28" s="30">
        <v>2.0979999999999999</v>
      </c>
      <c r="BC28" s="30"/>
      <c r="BD28" s="30">
        <v>4.1310000000000002</v>
      </c>
      <c r="BE28" s="30">
        <v>2.1</v>
      </c>
      <c r="BF28" s="30"/>
      <c r="BG28" s="30"/>
      <c r="BH28" s="30"/>
      <c r="BI28" s="30"/>
    </row>
    <row r="29" spans="1:61" ht="11.25" customHeight="1" x14ac:dyDescent="0.25">
      <c r="A29" s="34" t="s">
        <v>5</v>
      </c>
      <c r="B29" s="42"/>
      <c r="C29" s="36">
        <v>1.9771000000000001</v>
      </c>
      <c r="D29" s="36">
        <v>0.99</v>
      </c>
      <c r="E29" s="41" t="str">
        <f t="shared" si="2"/>
        <v></v>
      </c>
      <c r="F29" s="19">
        <f t="shared" si="3"/>
        <v>0.99707070707070722</v>
      </c>
      <c r="G29" s="36">
        <v>11.617100000000001</v>
      </c>
      <c r="H29" s="56"/>
      <c r="I29" s="6">
        <f t="shared" si="4"/>
        <v>11.617100000000001</v>
      </c>
      <c r="J29" s="7"/>
      <c r="K29" s="36">
        <v>2.9262999999999999</v>
      </c>
      <c r="L29" s="36">
        <v>2.5195500000000002</v>
      </c>
      <c r="M29" s="36">
        <v>8.7216000000000005</v>
      </c>
      <c r="N29" s="36">
        <v>5.9359000000000002</v>
      </c>
      <c r="O29" s="36">
        <v>4.0519999999999996</v>
      </c>
      <c r="P29" s="36">
        <v>2.88</v>
      </c>
      <c r="Q29" s="36">
        <v>1.94</v>
      </c>
      <c r="R29" s="36">
        <v>1.9617500000000001</v>
      </c>
      <c r="S29" s="36">
        <v>1.9067999999999998</v>
      </c>
      <c r="T29" s="36">
        <v>2.89</v>
      </c>
      <c r="U29" s="36">
        <v>2.8620000000000001</v>
      </c>
      <c r="V29" s="36">
        <v>1.964</v>
      </c>
      <c r="W29" s="36">
        <v>6.7539999999999996</v>
      </c>
      <c r="X29" s="36">
        <v>9.89</v>
      </c>
      <c r="Y29" s="36">
        <v>4.9770000000000003</v>
      </c>
      <c r="Z29" s="36">
        <v>3.8730000000000002</v>
      </c>
      <c r="AA29" s="36">
        <v>4.9109999999999996</v>
      </c>
      <c r="AB29" s="36">
        <v>2.9550000000000001</v>
      </c>
      <c r="AC29" s="36">
        <v>1.9570000000000001</v>
      </c>
      <c r="AD29" s="36">
        <v>2.9470000000000001</v>
      </c>
      <c r="AE29" s="36">
        <v>3.9510000000000001</v>
      </c>
      <c r="AF29" s="36">
        <v>0.97940000000000005</v>
      </c>
      <c r="AG29" s="36">
        <v>5.8380000000000001</v>
      </c>
      <c r="AH29" s="36">
        <v>2.8780000000000001</v>
      </c>
      <c r="AI29" s="36">
        <v>9.25</v>
      </c>
      <c r="AJ29" s="36">
        <v>5.0199999999999996</v>
      </c>
      <c r="AK29" s="36">
        <v>5.72</v>
      </c>
      <c r="AL29" s="36">
        <v>4.59</v>
      </c>
      <c r="AM29" s="36">
        <v>5.68</v>
      </c>
      <c r="AN29" s="36">
        <v>6.86</v>
      </c>
      <c r="AO29" s="36">
        <v>6.8170000000000002</v>
      </c>
      <c r="AP29" s="36">
        <v>4.8099999999999996</v>
      </c>
      <c r="AQ29" s="36">
        <v>5.7590000000000003</v>
      </c>
      <c r="AR29" s="36">
        <v>8.7379999999999995</v>
      </c>
      <c r="AS29" s="36">
        <v>3.9529999999999998</v>
      </c>
      <c r="AT29" s="36">
        <v>3.956</v>
      </c>
      <c r="AU29" s="36">
        <v>1.9670000000000001</v>
      </c>
      <c r="AV29" s="36">
        <v>1.97</v>
      </c>
      <c r="AW29" s="36">
        <v>0.99399999999999999</v>
      </c>
      <c r="AX29" s="36">
        <v>1.982</v>
      </c>
      <c r="AY29" s="36">
        <v>0.99199999999999999</v>
      </c>
      <c r="AZ29" s="36">
        <v>1.9705999999999999</v>
      </c>
      <c r="BA29" s="36">
        <v>2.92</v>
      </c>
      <c r="BB29" s="36">
        <v>1.9239999999999999</v>
      </c>
      <c r="BC29" s="36">
        <v>5.76</v>
      </c>
      <c r="BD29" s="36">
        <v>0.97599999999999998</v>
      </c>
      <c r="BE29" s="36">
        <v>3.9390000000000001</v>
      </c>
      <c r="BF29" s="36">
        <v>1.9379999999999999</v>
      </c>
      <c r="BG29" s="36">
        <v>8.65</v>
      </c>
      <c r="BH29" s="36">
        <v>0.99</v>
      </c>
      <c r="BI29" s="36">
        <v>1.9771000000000001</v>
      </c>
    </row>
    <row r="30" spans="1:61" ht="11.25" customHeight="1" x14ac:dyDescent="0.25">
      <c r="A30" s="39"/>
      <c r="B30" s="37" t="s">
        <v>37</v>
      </c>
      <c r="C30" s="38">
        <v>1.9771000000000001</v>
      </c>
      <c r="D30" s="38">
        <v>0.99</v>
      </c>
      <c r="E30" s="41" t="str">
        <f t="shared" si="2"/>
        <v></v>
      </c>
      <c r="F30" s="23">
        <f t="shared" si="3"/>
        <v>0.99707070707070722</v>
      </c>
      <c r="G30" s="38">
        <v>2.9671000000000003</v>
      </c>
      <c r="H30" s="56"/>
      <c r="I30" s="6">
        <f t="shared" si="4"/>
        <v>2.9671000000000003</v>
      </c>
      <c r="J30" s="7"/>
      <c r="K30" s="38">
        <v>2.9262999999999999</v>
      </c>
      <c r="L30" s="38">
        <v>2.00475</v>
      </c>
      <c r="M30" s="38">
        <v>4.9058000000000002</v>
      </c>
      <c r="N30" s="38">
        <v>3.9396</v>
      </c>
      <c r="O30" s="38">
        <v>1.9470000000000001</v>
      </c>
      <c r="P30" s="38">
        <v>2.88</v>
      </c>
      <c r="Q30" s="38">
        <v>1.94</v>
      </c>
      <c r="R30" s="38">
        <v>1.9617500000000001</v>
      </c>
      <c r="S30" s="38">
        <v>1.9</v>
      </c>
      <c r="T30" s="38">
        <v>2.89</v>
      </c>
      <c r="U30" s="38">
        <v>2.8620000000000001</v>
      </c>
      <c r="V30" s="38">
        <v>1.964</v>
      </c>
      <c r="W30" s="38">
        <v>2.0127000000000002</v>
      </c>
      <c r="X30" s="38">
        <v>4.9169999999999998</v>
      </c>
      <c r="Y30" s="38">
        <v>4.9770000000000003</v>
      </c>
      <c r="Z30" s="38">
        <v>3.8730000000000002</v>
      </c>
      <c r="AA30" s="38">
        <v>4.9109999999999996</v>
      </c>
      <c r="AB30" s="38">
        <v>2.9550000000000001</v>
      </c>
      <c r="AC30" s="38">
        <v>1.9570000000000001</v>
      </c>
      <c r="AD30" s="38">
        <v>2.9470000000000001</v>
      </c>
      <c r="AE30" s="38">
        <v>3.9510000000000001</v>
      </c>
      <c r="AF30" s="38">
        <v>0.97940000000000005</v>
      </c>
      <c r="AG30" s="38">
        <v>5.8380000000000001</v>
      </c>
      <c r="AH30" s="38">
        <v>2.8780000000000001</v>
      </c>
      <c r="AI30" s="38">
        <v>3.9710000000000001</v>
      </c>
      <c r="AJ30" s="38">
        <v>5.0199999999999996</v>
      </c>
      <c r="AK30" s="38">
        <v>2.92</v>
      </c>
      <c r="AL30" s="38">
        <v>0.92059999999999997</v>
      </c>
      <c r="AM30" s="38">
        <v>0.93799999999999994</v>
      </c>
      <c r="AN30" s="38">
        <v>3.9849999999999999</v>
      </c>
      <c r="AO30" s="38">
        <v>6.8170000000000002</v>
      </c>
      <c r="AP30" s="38">
        <v>4.8099999999999996</v>
      </c>
      <c r="AQ30" s="38">
        <v>2.9119999999999999</v>
      </c>
      <c r="AR30" s="38">
        <v>3.9929999999999999</v>
      </c>
      <c r="AS30" s="38">
        <v>3.9529999999999998</v>
      </c>
      <c r="AT30" s="38">
        <v>3.956</v>
      </c>
      <c r="AU30" s="38">
        <v>1.9670000000000001</v>
      </c>
      <c r="AV30" s="38">
        <v>1.97</v>
      </c>
      <c r="AW30" s="38">
        <v>0.99399999999999999</v>
      </c>
      <c r="AX30" s="38">
        <v>1.982</v>
      </c>
      <c r="AY30" s="38">
        <v>0.99170000000000003</v>
      </c>
      <c r="AZ30" s="38">
        <v>1.9705999999999999</v>
      </c>
      <c r="BA30" s="38">
        <v>2.92</v>
      </c>
      <c r="BB30" s="38">
        <v>1.9239999999999999</v>
      </c>
      <c r="BC30" s="38">
        <v>2.9119999999999999</v>
      </c>
      <c r="BD30" s="38">
        <v>0.97599999999999998</v>
      </c>
      <c r="BE30" s="38">
        <v>3.9390000000000001</v>
      </c>
      <c r="BF30" s="38">
        <v>1.9379999999999999</v>
      </c>
      <c r="BG30" s="38"/>
      <c r="BH30" s="38">
        <v>0.99</v>
      </c>
      <c r="BI30" s="38">
        <v>1.9771000000000001</v>
      </c>
    </row>
    <row r="31" spans="1:61" ht="11.25" customHeight="1" x14ac:dyDescent="0.25">
      <c r="A31" s="39"/>
      <c r="B31" s="37" t="s">
        <v>11</v>
      </c>
      <c r="C31" s="38"/>
      <c r="D31" s="38"/>
      <c r="E31" s="41" t="str">
        <f t="shared" si="2"/>
        <v/>
      </c>
      <c r="F31" s="23" t="str">
        <f t="shared" si="3"/>
        <v>—</v>
      </c>
      <c r="G31" s="38">
        <v>0</v>
      </c>
      <c r="H31" s="56"/>
      <c r="I31" s="6">
        <f t="shared" si="4"/>
        <v>0</v>
      </c>
      <c r="J31" s="7"/>
      <c r="K31" s="38"/>
      <c r="L31" s="38"/>
      <c r="M31" s="38">
        <v>3.3877999999999999</v>
      </c>
      <c r="N31" s="38">
        <v>1.9963</v>
      </c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>
        <v>3.9500000000000001E-4</v>
      </c>
      <c r="AZ31" s="38"/>
      <c r="BA31" s="38"/>
      <c r="BB31" s="38"/>
      <c r="BC31" s="38"/>
      <c r="BD31" s="38"/>
      <c r="BE31" s="38"/>
      <c r="BF31" s="38"/>
      <c r="BG31" s="38"/>
      <c r="BH31" s="38"/>
      <c r="BI31" s="38"/>
    </row>
    <row r="32" spans="1:61" ht="11.25" customHeight="1" x14ac:dyDescent="0.25">
      <c r="A32" s="39"/>
      <c r="B32" s="37" t="s">
        <v>73</v>
      </c>
      <c r="C32" s="38"/>
      <c r="D32" s="38"/>
      <c r="E32" s="41" t="str">
        <f t="shared" si="2"/>
        <v/>
      </c>
      <c r="F32" s="23" t="str">
        <f t="shared" si="3"/>
        <v>—</v>
      </c>
      <c r="G32" s="38">
        <v>8.65</v>
      </c>
      <c r="H32" s="56"/>
      <c r="I32" s="6">
        <f t="shared" si="4"/>
        <v>8.65</v>
      </c>
      <c r="J32" s="7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>
        <v>5.28</v>
      </c>
      <c r="AJ32" s="38"/>
      <c r="AK32" s="38">
        <v>2.8</v>
      </c>
      <c r="AL32" s="38">
        <v>3.6749999999999998</v>
      </c>
      <c r="AM32" s="38">
        <v>4.7450000000000001</v>
      </c>
      <c r="AN32" s="38">
        <v>2.879</v>
      </c>
      <c r="AO32" s="38"/>
      <c r="AP32" s="38"/>
      <c r="AQ32" s="38">
        <v>2.8460000000000001</v>
      </c>
      <c r="AR32" s="38">
        <v>4.7450000000000001</v>
      </c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>
        <v>2.8460000000000001</v>
      </c>
      <c r="BD32" s="38"/>
      <c r="BE32" s="38"/>
      <c r="BF32" s="38"/>
      <c r="BG32" s="38">
        <v>8.65</v>
      </c>
      <c r="BH32" s="38"/>
      <c r="BI32" s="38"/>
    </row>
    <row r="33" spans="1:61" ht="11.25" customHeight="1" x14ac:dyDescent="0.25">
      <c r="A33" s="39"/>
      <c r="B33" s="37" t="s">
        <v>31</v>
      </c>
      <c r="C33" s="38"/>
      <c r="D33" s="38"/>
      <c r="E33" s="41" t="str">
        <f t="shared" si="2"/>
        <v/>
      </c>
      <c r="F33" s="23" t="str">
        <f t="shared" si="3"/>
        <v>—</v>
      </c>
      <c r="G33" s="38">
        <v>0</v>
      </c>
      <c r="H33" s="56"/>
      <c r="I33" s="6">
        <f t="shared" si="4"/>
        <v>0</v>
      </c>
      <c r="J33" s="7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>
        <v>4.7420999999999998</v>
      </c>
      <c r="X33" s="38">
        <v>4.9740000000000002</v>
      </c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38"/>
      <c r="AV33" s="38"/>
      <c r="AW33" s="38"/>
      <c r="AX33" s="38"/>
      <c r="AY33" s="38"/>
      <c r="AZ33" s="38"/>
      <c r="BA33" s="38"/>
      <c r="BB33" s="38"/>
      <c r="BC33" s="38"/>
      <c r="BD33" s="38"/>
      <c r="BE33" s="38"/>
      <c r="BF33" s="38"/>
      <c r="BG33" s="38"/>
      <c r="BH33" s="38"/>
      <c r="BI33" s="38"/>
    </row>
    <row r="34" spans="1:61" ht="11.25" customHeight="1" x14ac:dyDescent="0.25">
      <c r="A34" s="34"/>
      <c r="B34" s="37" t="s">
        <v>32</v>
      </c>
      <c r="C34" s="38"/>
      <c r="D34" s="38"/>
      <c r="E34" s="41" t="str">
        <f t="shared" si="2"/>
        <v/>
      </c>
      <c r="F34" s="23" t="str">
        <f t="shared" si="3"/>
        <v>—</v>
      </c>
      <c r="G34" s="38">
        <v>0</v>
      </c>
      <c r="H34" s="56"/>
      <c r="I34" s="6">
        <f t="shared" si="4"/>
        <v>0</v>
      </c>
      <c r="J34" s="7"/>
      <c r="K34" s="38"/>
      <c r="L34" s="38"/>
      <c r="M34" s="38"/>
      <c r="N34" s="38"/>
      <c r="O34" s="38">
        <v>2.0979999999999999</v>
      </c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  <c r="BE34" s="38"/>
      <c r="BF34" s="38"/>
      <c r="BG34" s="38"/>
      <c r="BH34" s="38"/>
      <c r="BI34" s="38"/>
    </row>
    <row r="35" spans="1:61" ht="11.25" customHeight="1" x14ac:dyDescent="0.25">
      <c r="A35" s="39"/>
      <c r="B35" s="37" t="s">
        <v>35</v>
      </c>
      <c r="C35" s="38"/>
      <c r="D35" s="38"/>
      <c r="E35" s="41" t="str">
        <f t="shared" si="2"/>
        <v/>
      </c>
      <c r="F35" s="23" t="str">
        <f t="shared" si="3"/>
        <v>—</v>
      </c>
      <c r="G35" s="38">
        <v>0</v>
      </c>
      <c r="H35" s="56"/>
      <c r="I35" s="6">
        <f t="shared" si="4"/>
        <v>0</v>
      </c>
      <c r="J35" s="7"/>
      <c r="K35" s="38"/>
      <c r="L35" s="38">
        <v>0.51480000000000004</v>
      </c>
      <c r="M35" s="38">
        <v>0.42799999999999999</v>
      </c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  <c r="BE35" s="38"/>
      <c r="BF35" s="38"/>
      <c r="BG35" s="38"/>
      <c r="BH35" s="38"/>
      <c r="BI35" s="38"/>
    </row>
    <row r="36" spans="1:61" ht="11.25" customHeight="1" x14ac:dyDescent="0.25">
      <c r="A36" s="24" t="s">
        <v>13</v>
      </c>
      <c r="B36" s="32"/>
      <c r="C36" s="26">
        <v>1.1200000000000001</v>
      </c>
      <c r="D36" s="26">
        <v>2</v>
      </c>
      <c r="E36" s="27" t="str">
        <f t="shared" si="2"/>
        <v></v>
      </c>
      <c r="F36" s="43">
        <f t="shared" si="3"/>
        <v>-0.43999999999999995</v>
      </c>
      <c r="G36" s="26">
        <v>5.1230000000000002</v>
      </c>
      <c r="H36" s="56"/>
      <c r="I36" s="6">
        <f t="shared" si="4"/>
        <v>5.1230000000000002</v>
      </c>
      <c r="J36" s="7"/>
      <c r="K36" s="26">
        <v>0.77705000000000002</v>
      </c>
      <c r="L36" s="26">
        <v>6.6467999999999998</v>
      </c>
      <c r="M36" s="26">
        <v>0.77800000000000002</v>
      </c>
      <c r="N36" s="26">
        <v>4.7521000000000004</v>
      </c>
      <c r="O36" s="26">
        <v>1.5640000000000001</v>
      </c>
      <c r="P36" s="26">
        <v>0.73</v>
      </c>
      <c r="Q36" s="26">
        <v>1.55</v>
      </c>
      <c r="R36" s="26">
        <v>0.78100000000000003</v>
      </c>
      <c r="S36" s="26">
        <v>0.78149999999999997</v>
      </c>
      <c r="T36" s="26">
        <v>0.77</v>
      </c>
      <c r="U36" s="26">
        <v>0</v>
      </c>
      <c r="V36" s="26">
        <v>0.69110000000000005</v>
      </c>
      <c r="W36" s="26"/>
      <c r="X36" s="26"/>
      <c r="Y36" s="26"/>
      <c r="Z36" s="26"/>
      <c r="AA36" s="26">
        <v>0.45900000000000002</v>
      </c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>
        <v>4.1589999999999998</v>
      </c>
      <c r="AW36" s="26">
        <v>3.1139999999999999</v>
      </c>
      <c r="AX36" s="26">
        <v>3.125</v>
      </c>
      <c r="AY36" s="26">
        <v>7.1163999999999996</v>
      </c>
      <c r="AZ36" s="26"/>
      <c r="BA36" s="26"/>
      <c r="BB36" s="26"/>
      <c r="BC36" s="26"/>
      <c r="BD36" s="26">
        <v>2.0910000000000002</v>
      </c>
      <c r="BE36" s="26"/>
      <c r="BF36" s="26">
        <v>5.3170000000000002</v>
      </c>
      <c r="BG36" s="26">
        <v>2.0030000000000001</v>
      </c>
      <c r="BH36" s="26">
        <v>2</v>
      </c>
      <c r="BI36" s="26">
        <v>1.1200000000000001</v>
      </c>
    </row>
    <row r="37" spans="1:61" ht="11.25" customHeight="1" x14ac:dyDescent="0.25">
      <c r="A37" s="29"/>
      <c r="B37" s="32" t="s">
        <v>30</v>
      </c>
      <c r="C37" s="30"/>
      <c r="D37" s="30"/>
      <c r="E37" s="27" t="str">
        <f t="shared" si="2"/>
        <v/>
      </c>
      <c r="F37" s="44" t="str">
        <f t="shared" si="3"/>
        <v>—</v>
      </c>
      <c r="G37" s="30">
        <v>0</v>
      </c>
      <c r="H37" s="56"/>
      <c r="I37" s="6">
        <f t="shared" si="4"/>
        <v>0</v>
      </c>
      <c r="J37" s="7"/>
      <c r="K37" s="30"/>
      <c r="L37" s="30">
        <v>4.3792</v>
      </c>
      <c r="M37" s="30"/>
      <c r="N37" s="30">
        <v>3.3275999999999999</v>
      </c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>
        <v>7.1163999999999996</v>
      </c>
      <c r="AZ37" s="30"/>
      <c r="BA37" s="30"/>
      <c r="BB37" s="30"/>
      <c r="BC37" s="30"/>
      <c r="BD37" s="30"/>
      <c r="BE37" s="30"/>
      <c r="BF37" s="30"/>
      <c r="BG37" s="30"/>
      <c r="BH37" s="30"/>
      <c r="BI37" s="30"/>
    </row>
    <row r="38" spans="1:61" ht="11.25" customHeight="1" x14ac:dyDescent="0.25">
      <c r="A38" s="29"/>
      <c r="B38" s="32" t="s">
        <v>73</v>
      </c>
      <c r="C38" s="30"/>
      <c r="D38" s="30"/>
      <c r="E38" s="27" t="str">
        <f t="shared" si="2"/>
        <v/>
      </c>
      <c r="F38" s="44" t="str">
        <f t="shared" si="3"/>
        <v>—</v>
      </c>
      <c r="G38" s="30">
        <v>0</v>
      </c>
      <c r="H38" s="56"/>
      <c r="I38" s="6">
        <f t="shared" si="4"/>
        <v>0</v>
      </c>
      <c r="J38" s="7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>
        <v>4.1589999999999998</v>
      </c>
      <c r="AW38" s="30"/>
      <c r="AX38" s="30"/>
      <c r="AY38" s="30"/>
      <c r="AZ38" s="30"/>
      <c r="BA38" s="30"/>
      <c r="BB38" s="30"/>
      <c r="BC38" s="30"/>
      <c r="BD38" s="30"/>
      <c r="BE38" s="30"/>
      <c r="BF38" s="30">
        <v>5.3170000000000002</v>
      </c>
      <c r="BG38" s="30"/>
      <c r="BH38" s="30"/>
      <c r="BI38" s="30"/>
    </row>
    <row r="39" spans="1:61" ht="11.25" customHeight="1" x14ac:dyDescent="0.25">
      <c r="A39" s="29"/>
      <c r="B39" s="32" t="s">
        <v>53</v>
      </c>
      <c r="C39" s="30">
        <v>1.1200000000000001</v>
      </c>
      <c r="D39" s="30">
        <v>2</v>
      </c>
      <c r="E39" s="27" t="str">
        <f t="shared" si="2"/>
        <v></v>
      </c>
      <c r="F39" s="44">
        <f t="shared" si="3"/>
        <v>-0.43999999999999995</v>
      </c>
      <c r="G39" s="30">
        <v>5.1230000000000002</v>
      </c>
      <c r="H39" s="56"/>
      <c r="I39" s="6">
        <f t="shared" si="4"/>
        <v>5.1230000000000002</v>
      </c>
      <c r="J39" s="7"/>
      <c r="K39" s="30"/>
      <c r="L39" s="30">
        <v>3.7225999999999999</v>
      </c>
      <c r="M39" s="30">
        <v>6.2878999999999996</v>
      </c>
      <c r="N39" s="30">
        <v>2.1013000000000002</v>
      </c>
      <c r="O39" s="30"/>
      <c r="P39" s="30"/>
      <c r="Q39" s="30">
        <v>2.008</v>
      </c>
      <c r="R39" s="30"/>
      <c r="S39" s="30"/>
      <c r="T39" s="30">
        <v>3.66</v>
      </c>
      <c r="U39" s="30"/>
      <c r="V39" s="30"/>
      <c r="W39" s="30"/>
      <c r="X39" s="30"/>
      <c r="Y39" s="30">
        <v>6.2820999999999998</v>
      </c>
      <c r="Z39" s="30">
        <v>4.202</v>
      </c>
      <c r="AA39" s="30"/>
      <c r="AB39" s="30">
        <v>4.1970000000000001</v>
      </c>
      <c r="AC39" s="30"/>
      <c r="AD39" s="30">
        <v>2.0920000000000001</v>
      </c>
      <c r="AE39" s="30"/>
      <c r="AF39" s="30">
        <v>1.9493</v>
      </c>
      <c r="AG39" s="30">
        <v>3.7109999999999999</v>
      </c>
      <c r="AH39" s="30"/>
      <c r="AI39" s="30">
        <v>2.0979999999999999</v>
      </c>
      <c r="AJ39" s="30">
        <v>2.0880000000000001</v>
      </c>
      <c r="AK39" s="30"/>
      <c r="AL39" s="30">
        <v>4.2</v>
      </c>
      <c r="AM39" s="30">
        <v>8.39</v>
      </c>
      <c r="AN39" s="30"/>
      <c r="AO39" s="30"/>
      <c r="AP39" s="30">
        <v>6.3</v>
      </c>
      <c r="AQ39" s="30">
        <v>2.0590000000000002</v>
      </c>
      <c r="AR39" s="30"/>
      <c r="AS39" s="30">
        <v>4.1959999999999997</v>
      </c>
      <c r="AT39" s="30"/>
      <c r="AU39" s="30"/>
      <c r="AV39" s="30">
        <v>2.097</v>
      </c>
      <c r="AW39" s="30">
        <v>3.1139999999999999</v>
      </c>
      <c r="AX39" s="30">
        <v>3.125</v>
      </c>
      <c r="AY39" s="30"/>
      <c r="AZ39" s="30"/>
      <c r="BA39" s="30"/>
      <c r="BB39" s="30"/>
      <c r="BC39" s="30"/>
      <c r="BD39" s="30">
        <v>2.0910000000000002</v>
      </c>
      <c r="BE39" s="30"/>
      <c r="BF39" s="30"/>
      <c r="BG39" s="30">
        <v>2.0030000000000001</v>
      </c>
      <c r="BH39" s="30">
        <v>2</v>
      </c>
      <c r="BI39" s="30">
        <v>1.1200000000000001</v>
      </c>
    </row>
    <row r="40" spans="1:61" ht="11.25" customHeight="1" x14ac:dyDescent="0.25">
      <c r="A40" s="29"/>
      <c r="B40" s="32" t="s">
        <v>37</v>
      </c>
      <c r="C40" s="30"/>
      <c r="D40" s="30"/>
      <c r="E40" s="27" t="str">
        <f t="shared" si="2"/>
        <v/>
      </c>
      <c r="F40" s="44" t="str">
        <f t="shared" si="3"/>
        <v>—</v>
      </c>
      <c r="G40" s="30">
        <v>0</v>
      </c>
      <c r="H40" s="56"/>
      <c r="I40" s="6">
        <f t="shared" si="4"/>
        <v>0</v>
      </c>
      <c r="J40" s="7"/>
      <c r="K40" s="30">
        <v>0.77705000000000002</v>
      </c>
      <c r="L40" s="30">
        <v>2.2675999999999998</v>
      </c>
      <c r="M40" s="30">
        <v>0.77800000000000002</v>
      </c>
      <c r="N40" s="30">
        <v>1.4245000000000001</v>
      </c>
      <c r="O40" s="30">
        <v>1.5640000000000001</v>
      </c>
      <c r="P40" s="30">
        <v>0.73</v>
      </c>
      <c r="Q40" s="30">
        <v>1.55</v>
      </c>
      <c r="R40" s="30">
        <v>0.78100000000000003</v>
      </c>
      <c r="S40" s="30">
        <v>0.78149999999999997</v>
      </c>
      <c r="T40" s="30">
        <v>0.77</v>
      </c>
      <c r="U40" s="30"/>
      <c r="V40" s="30">
        <v>0.69110000000000005</v>
      </c>
      <c r="W40" s="30"/>
      <c r="X40" s="30"/>
      <c r="Y40" s="30"/>
      <c r="Z40" s="30"/>
      <c r="AA40" s="30">
        <v>0.45900000000000002</v>
      </c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</row>
    <row r="41" spans="1:61" ht="11.25" customHeight="1" x14ac:dyDescent="0.25">
      <c r="A41" s="34" t="s">
        <v>29</v>
      </c>
      <c r="B41" s="42"/>
      <c r="C41" s="36"/>
      <c r="D41" s="36"/>
      <c r="E41" s="41" t="str">
        <f t="shared" si="2"/>
        <v/>
      </c>
      <c r="F41" s="19" t="str">
        <f t="shared" si="3"/>
        <v>—</v>
      </c>
      <c r="G41" s="36">
        <v>0</v>
      </c>
      <c r="H41" s="55"/>
      <c r="I41" s="6">
        <f t="shared" si="4"/>
        <v>0</v>
      </c>
      <c r="K41" s="36">
        <v>2.8778000000000001</v>
      </c>
      <c r="L41" s="36">
        <v>2.7740499999999999</v>
      </c>
      <c r="M41" s="36">
        <v>1.81</v>
      </c>
      <c r="N41" s="36">
        <v>1.9381999999999999</v>
      </c>
      <c r="O41" s="36">
        <v>3.714</v>
      </c>
      <c r="P41" s="36">
        <v>3.3620000000000001</v>
      </c>
      <c r="Q41" s="36">
        <v>0.9</v>
      </c>
      <c r="R41" s="36">
        <v>0</v>
      </c>
      <c r="S41" s="36">
        <v>0</v>
      </c>
      <c r="T41" s="36">
        <v>0</v>
      </c>
      <c r="U41" s="36">
        <v>0</v>
      </c>
      <c r="V41" s="36">
        <v>1.0092000000000001</v>
      </c>
      <c r="W41" s="36">
        <v>1.9750000000000001</v>
      </c>
      <c r="X41" s="36">
        <v>0.99099999999999999</v>
      </c>
      <c r="Y41" s="36">
        <v>1.004</v>
      </c>
      <c r="Z41" s="36">
        <v>0.91500000000000004</v>
      </c>
      <c r="AA41" s="36">
        <v>0.91</v>
      </c>
      <c r="AB41" s="36">
        <v>1.9159999999999999</v>
      </c>
      <c r="AC41" s="36">
        <v>0.97660000000000002</v>
      </c>
      <c r="AD41" s="36">
        <v>1.9570000000000001</v>
      </c>
      <c r="AE41" s="36"/>
      <c r="AF41" s="36"/>
      <c r="AG41" s="36"/>
      <c r="AH41" s="36"/>
      <c r="AI41" s="36">
        <v>0.94699999999999995</v>
      </c>
      <c r="AJ41" s="36"/>
      <c r="AK41" s="36"/>
      <c r="AL41" s="36">
        <v>4.6210000000000004</v>
      </c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36">
        <v>0.93</v>
      </c>
      <c r="AX41" s="36"/>
      <c r="AY41" s="36">
        <v>0.99299999999999999</v>
      </c>
      <c r="AZ41" s="36"/>
      <c r="BA41" s="36"/>
      <c r="BB41" s="36"/>
      <c r="BC41" s="36"/>
      <c r="BD41" s="36"/>
      <c r="BE41" s="36"/>
      <c r="BF41" s="36"/>
      <c r="BG41" s="36"/>
      <c r="BH41" s="36"/>
      <c r="BI41" s="36"/>
    </row>
    <row r="42" spans="1:61" ht="11.25" customHeight="1" x14ac:dyDescent="0.25">
      <c r="A42" s="39"/>
      <c r="B42" s="37" t="s">
        <v>35</v>
      </c>
      <c r="C42" s="38"/>
      <c r="D42" s="38"/>
      <c r="E42" s="41" t="str">
        <f t="shared" si="2"/>
        <v/>
      </c>
      <c r="F42" s="23" t="str">
        <f t="shared" si="3"/>
        <v>—</v>
      </c>
      <c r="G42" s="38">
        <v>0</v>
      </c>
      <c r="H42" s="55"/>
      <c r="I42" s="6">
        <f t="shared" si="4"/>
        <v>0</v>
      </c>
      <c r="K42" s="38"/>
      <c r="L42" s="38"/>
      <c r="M42" s="38"/>
      <c r="N42" s="38"/>
      <c r="O42" s="38"/>
      <c r="P42" s="38">
        <v>0.12</v>
      </c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  <c r="BE42" s="38"/>
      <c r="BF42" s="38"/>
      <c r="BG42" s="38"/>
      <c r="BH42" s="38"/>
      <c r="BI42" s="38"/>
    </row>
    <row r="43" spans="1:61" ht="11.25" customHeight="1" x14ac:dyDescent="0.25">
      <c r="A43" s="39"/>
      <c r="B43" s="37" t="s">
        <v>37</v>
      </c>
      <c r="C43" s="38"/>
      <c r="D43" s="38"/>
      <c r="E43" s="41" t="str">
        <f t="shared" si="2"/>
        <v/>
      </c>
      <c r="F43" s="23" t="str">
        <f t="shared" si="3"/>
        <v>—</v>
      </c>
      <c r="G43" s="38">
        <v>0</v>
      </c>
      <c r="H43" s="55"/>
      <c r="I43" s="6">
        <f t="shared" si="4"/>
        <v>0</v>
      </c>
      <c r="K43" s="38">
        <v>2.8778000000000001</v>
      </c>
      <c r="L43" s="38">
        <v>2.7740499999999999</v>
      </c>
      <c r="M43" s="38">
        <v>1.81</v>
      </c>
      <c r="N43" s="38">
        <v>1.9381999999999999</v>
      </c>
      <c r="O43" s="38">
        <v>3.714</v>
      </c>
      <c r="P43" s="38">
        <v>0.91200000000000003</v>
      </c>
      <c r="Q43" s="38">
        <v>0.9</v>
      </c>
      <c r="R43" s="38"/>
      <c r="S43" s="38"/>
      <c r="T43" s="38"/>
      <c r="U43" s="38"/>
      <c r="V43" s="38">
        <v>1.0092000000000001</v>
      </c>
      <c r="W43" s="38">
        <v>1.9750000000000001</v>
      </c>
      <c r="X43" s="38">
        <v>0.99099999999999999</v>
      </c>
      <c r="Y43" s="38">
        <v>1.004</v>
      </c>
      <c r="Z43" s="38"/>
      <c r="AA43" s="38"/>
      <c r="AB43" s="38">
        <v>0.97799999999999998</v>
      </c>
      <c r="AC43" s="38">
        <v>0.97660000000000002</v>
      </c>
      <c r="AD43" s="38">
        <v>0.96399999999999997</v>
      </c>
      <c r="AE43" s="38"/>
      <c r="AF43" s="38"/>
      <c r="AG43" s="38"/>
      <c r="AH43" s="38"/>
      <c r="AI43" s="38">
        <v>0.94699999999999995</v>
      </c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>
        <v>0.93</v>
      </c>
      <c r="AX43" s="38"/>
      <c r="AY43" s="38">
        <v>0.99299999999999999</v>
      </c>
      <c r="AZ43" s="38"/>
      <c r="BA43" s="38"/>
      <c r="BB43" s="38"/>
      <c r="BC43" s="38"/>
      <c r="BD43" s="38"/>
      <c r="BE43" s="38"/>
      <c r="BF43" s="38"/>
      <c r="BG43" s="38"/>
      <c r="BH43" s="38"/>
      <c r="BI43" s="38"/>
    </row>
    <row r="44" spans="1:61" ht="11.25" customHeight="1" x14ac:dyDescent="0.25">
      <c r="A44" s="24" t="s">
        <v>38</v>
      </c>
      <c r="B44" s="25"/>
      <c r="C44" s="26">
        <v>3.5000000000000003E-2</v>
      </c>
      <c r="D44" s="26"/>
      <c r="E44" s="27" t="str">
        <f t="shared" si="2"/>
        <v/>
      </c>
      <c r="F44" s="43" t="str">
        <f t="shared" si="3"/>
        <v>—</v>
      </c>
      <c r="G44" s="26">
        <v>17.205000000000002</v>
      </c>
      <c r="H44" s="56"/>
      <c r="I44" s="6">
        <f t="shared" si="4"/>
        <v>17.205000000000002</v>
      </c>
      <c r="J44" s="7"/>
      <c r="K44" s="26">
        <v>4.4840000000000005E-2</v>
      </c>
      <c r="L44" s="26">
        <v>3.7277839999999998</v>
      </c>
      <c r="M44" s="26">
        <v>6.2878999999999996</v>
      </c>
      <c r="N44" s="26">
        <v>2.1202000000000001</v>
      </c>
      <c r="O44" s="26">
        <v>1.6E-2</v>
      </c>
      <c r="P44" s="26">
        <v>6.2214</v>
      </c>
      <c r="Q44" s="26">
        <v>2.028</v>
      </c>
      <c r="R44" s="26">
        <v>6.8019999999999999E-3</v>
      </c>
      <c r="S44" s="26">
        <v>1.4999999999999999E-2</v>
      </c>
      <c r="T44" s="26">
        <v>3.66</v>
      </c>
      <c r="U44" s="26">
        <v>0</v>
      </c>
      <c r="V44" s="26">
        <v>6.0000000000000001E-3</v>
      </c>
      <c r="W44" s="26">
        <v>4.58E-2</v>
      </c>
      <c r="X44" s="26">
        <v>3.1E-2</v>
      </c>
      <c r="Y44" s="26">
        <v>6.29</v>
      </c>
      <c r="Z44" s="26">
        <v>4.2080000000000002</v>
      </c>
      <c r="AA44" s="26">
        <v>5.1999999999999998E-2</v>
      </c>
      <c r="AB44" s="26">
        <v>4.1970000000000001</v>
      </c>
      <c r="AC44" s="26">
        <v>0.01</v>
      </c>
      <c r="AD44" s="26">
        <v>2.0988000000000002</v>
      </c>
      <c r="AE44" s="26"/>
      <c r="AF44" s="26">
        <v>1.954</v>
      </c>
      <c r="AG44" s="26">
        <v>3.73</v>
      </c>
      <c r="AH44" s="26">
        <v>0.11544</v>
      </c>
      <c r="AI44" s="26">
        <v>2.11</v>
      </c>
      <c r="AJ44" s="26">
        <v>2.0880000000000001</v>
      </c>
      <c r="AK44" s="26">
        <v>3.6999999999999998E-2</v>
      </c>
      <c r="AL44" s="26">
        <v>4.21</v>
      </c>
      <c r="AM44" s="26">
        <v>8.41</v>
      </c>
      <c r="AN44" s="26">
        <v>1.2999999999999999E-2</v>
      </c>
      <c r="AO44" s="26">
        <v>2.6599999999999999E-2</v>
      </c>
      <c r="AP44" s="26">
        <v>8.4</v>
      </c>
      <c r="AQ44" s="26">
        <v>2.0979999999999999</v>
      </c>
      <c r="AR44" s="26">
        <v>6.4799999999999996E-3</v>
      </c>
      <c r="AS44" s="26">
        <v>4.21</v>
      </c>
      <c r="AT44" s="26">
        <v>1.1000000000000001E-3</v>
      </c>
      <c r="AU44" s="26"/>
      <c r="AV44" s="26">
        <v>2.1</v>
      </c>
      <c r="AW44" s="26">
        <v>1.9E-2</v>
      </c>
      <c r="AX44" s="26"/>
      <c r="AY44" s="26">
        <v>1.8499999999999999E-2</v>
      </c>
      <c r="AZ44" s="26">
        <v>3.2000000000000002E-3</v>
      </c>
      <c r="BA44" s="26">
        <v>2.5000000000000001E-2</v>
      </c>
      <c r="BB44" s="26">
        <v>1.55E-2</v>
      </c>
      <c r="BC44" s="26">
        <v>2.1</v>
      </c>
      <c r="BD44" s="26">
        <v>3.5000000000000003E-2</v>
      </c>
      <c r="BE44" s="26"/>
      <c r="BF44" s="26">
        <v>0.01</v>
      </c>
      <c r="BG44" s="26">
        <v>17.170000000000002</v>
      </c>
      <c r="BH44" s="26"/>
      <c r="BI44" s="26">
        <v>3.5000000000000003E-2</v>
      </c>
    </row>
    <row r="45" spans="1:61" ht="11.25" customHeight="1" x14ac:dyDescent="0.25">
      <c r="A45" s="29"/>
      <c r="B45" s="32" t="s">
        <v>53</v>
      </c>
      <c r="C45" s="30"/>
      <c r="D45" s="30"/>
      <c r="E45" s="27" t="str">
        <f t="shared" si="2"/>
        <v/>
      </c>
      <c r="F45" s="44" t="str">
        <f t="shared" si="3"/>
        <v>—</v>
      </c>
      <c r="G45" s="30">
        <v>17.134</v>
      </c>
      <c r="H45" s="56"/>
      <c r="I45" s="6">
        <f t="shared" si="4"/>
        <v>17.134</v>
      </c>
      <c r="J45" s="7"/>
      <c r="K45" s="30"/>
      <c r="L45" s="30">
        <v>3.7225999999999999</v>
      </c>
      <c r="M45" s="30">
        <v>6.2878999999999996</v>
      </c>
      <c r="N45" s="30">
        <v>2.1013000000000002</v>
      </c>
      <c r="O45" s="30"/>
      <c r="P45" s="30"/>
      <c r="Q45" s="30">
        <v>2.008</v>
      </c>
      <c r="R45" s="30"/>
      <c r="S45" s="30"/>
      <c r="T45" s="30">
        <v>3.66</v>
      </c>
      <c r="U45" s="30"/>
      <c r="V45" s="30"/>
      <c r="W45" s="30"/>
      <c r="X45" s="30"/>
      <c r="Y45" s="30">
        <v>6.2820999999999998</v>
      </c>
      <c r="Z45" s="30">
        <v>4.202</v>
      </c>
      <c r="AA45" s="30"/>
      <c r="AB45" s="30">
        <v>4.1970000000000001</v>
      </c>
      <c r="AC45" s="30"/>
      <c r="AD45" s="30">
        <v>2.0920000000000001</v>
      </c>
      <c r="AE45" s="30"/>
      <c r="AF45" s="30">
        <v>1.9493</v>
      </c>
      <c r="AG45" s="30">
        <v>3.7109999999999999</v>
      </c>
      <c r="AH45" s="30"/>
      <c r="AI45" s="30">
        <v>2.0979999999999999</v>
      </c>
      <c r="AJ45" s="30">
        <v>2.0880000000000001</v>
      </c>
      <c r="AK45" s="30"/>
      <c r="AL45" s="30">
        <v>4.2</v>
      </c>
      <c r="AM45" s="30">
        <v>8.39</v>
      </c>
      <c r="AN45" s="30"/>
      <c r="AO45" s="30"/>
      <c r="AP45" s="30">
        <v>6.3</v>
      </c>
      <c r="AQ45" s="30">
        <v>2.0590000000000002</v>
      </c>
      <c r="AR45" s="30"/>
      <c r="AS45" s="30">
        <v>4.1959999999999997</v>
      </c>
      <c r="AT45" s="30"/>
      <c r="AU45" s="30"/>
      <c r="AV45" s="30">
        <v>2.097</v>
      </c>
      <c r="AW45" s="30"/>
      <c r="AX45" s="30"/>
      <c r="AY45" s="30"/>
      <c r="AZ45" s="30"/>
      <c r="BA45" s="30"/>
      <c r="BB45" s="30"/>
      <c r="BC45" s="30">
        <v>2.0590000000000002</v>
      </c>
      <c r="BD45" s="30"/>
      <c r="BE45" s="30"/>
      <c r="BF45" s="30"/>
      <c r="BG45" s="30">
        <v>17.134</v>
      </c>
      <c r="BH45" s="30"/>
      <c r="BI45" s="30"/>
    </row>
    <row r="46" spans="1:61" ht="11.25" customHeight="1" x14ac:dyDescent="0.25">
      <c r="A46" s="29"/>
      <c r="B46" s="32" t="s">
        <v>30</v>
      </c>
      <c r="C46" s="30"/>
      <c r="D46" s="30"/>
      <c r="E46" s="27" t="str">
        <f t="shared" si="2"/>
        <v/>
      </c>
      <c r="F46" s="44" t="str">
        <f t="shared" si="3"/>
        <v>—</v>
      </c>
      <c r="G46" s="30">
        <v>0</v>
      </c>
      <c r="H46" s="56"/>
      <c r="I46" s="6">
        <f t="shared" si="4"/>
        <v>0</v>
      </c>
      <c r="J46" s="7"/>
      <c r="K46" s="30"/>
      <c r="L46" s="30"/>
      <c r="M46" s="30"/>
      <c r="N46" s="30"/>
      <c r="O46" s="30"/>
      <c r="P46" s="30">
        <v>6.1950000000000003</v>
      </c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  <c r="BA46" s="30"/>
      <c r="BB46" s="30"/>
      <c r="BC46" s="30"/>
      <c r="BD46" s="30"/>
      <c r="BE46" s="30"/>
      <c r="BF46" s="30"/>
      <c r="BG46" s="30"/>
      <c r="BH46" s="30"/>
      <c r="BI46" s="30"/>
    </row>
    <row r="47" spans="1:61" ht="11.25" customHeight="1" x14ac:dyDescent="0.25">
      <c r="A47" s="24"/>
      <c r="B47" s="32" t="s">
        <v>12</v>
      </c>
      <c r="C47" s="30">
        <v>3.5000000000000003E-2</v>
      </c>
      <c r="D47" s="30"/>
      <c r="E47" s="27" t="str">
        <f t="shared" si="2"/>
        <v/>
      </c>
      <c r="F47" s="31" t="str">
        <f t="shared" si="3"/>
        <v>—</v>
      </c>
      <c r="G47" s="30">
        <v>6.7000000000000004E-2</v>
      </c>
      <c r="H47" s="56"/>
      <c r="I47" s="6">
        <f t="shared" si="4"/>
        <v>6.7000000000000004E-2</v>
      </c>
      <c r="J47" s="7"/>
      <c r="K47" s="30">
        <v>4.4840000000000005E-2</v>
      </c>
      <c r="L47" s="30">
        <v>5.1840000000000002E-3</v>
      </c>
      <c r="M47" s="30">
        <v>0</v>
      </c>
      <c r="N47" s="30">
        <v>1.89E-2</v>
      </c>
      <c r="O47" s="30">
        <v>1.6E-2</v>
      </c>
      <c r="P47" s="30">
        <v>2.64E-2</v>
      </c>
      <c r="Q47" s="30">
        <v>0.02</v>
      </c>
      <c r="R47" s="30">
        <v>6.8019999999999999E-3</v>
      </c>
      <c r="S47" s="30">
        <v>1.4999999999999999E-2</v>
      </c>
      <c r="T47" s="30">
        <v>0</v>
      </c>
      <c r="U47" s="30">
        <v>0</v>
      </c>
      <c r="V47" s="30">
        <v>6.0000000000000001E-3</v>
      </c>
      <c r="W47" s="30">
        <v>4.58E-2</v>
      </c>
      <c r="X47" s="30">
        <v>3.1E-2</v>
      </c>
      <c r="Y47" s="30">
        <v>6.0000000000000001E-3</v>
      </c>
      <c r="Z47" s="30">
        <v>6.2399999999999999E-3</v>
      </c>
      <c r="AA47" s="30">
        <v>5.1999999999999998E-2</v>
      </c>
      <c r="AB47" s="30"/>
      <c r="AC47" s="30">
        <v>0.01</v>
      </c>
      <c r="AD47" s="30">
        <v>6.7999999999999996E-3</v>
      </c>
      <c r="AE47" s="30"/>
      <c r="AF47" s="30">
        <v>5.0000000000000001E-3</v>
      </c>
      <c r="AG47" s="30">
        <v>0.02</v>
      </c>
      <c r="AH47" s="30">
        <v>1.1544E-2</v>
      </c>
      <c r="AI47" s="30">
        <v>0.01</v>
      </c>
      <c r="AJ47" s="30"/>
      <c r="AK47" s="30">
        <v>3.6999999999999998E-2</v>
      </c>
      <c r="AL47" s="30">
        <v>0.01</v>
      </c>
      <c r="AM47" s="30">
        <v>1.6899999999999998E-2</v>
      </c>
      <c r="AN47" s="30">
        <v>1.2999999999999999E-2</v>
      </c>
      <c r="AO47" s="30">
        <v>2.6599999999999999E-2</v>
      </c>
      <c r="AP47" s="30">
        <v>2.1</v>
      </c>
      <c r="AQ47" s="30">
        <v>3.5999999999999997E-2</v>
      </c>
      <c r="AR47" s="30">
        <v>6.4799999999999996E-3</v>
      </c>
      <c r="AS47" s="30">
        <v>1.0999999999999999E-2</v>
      </c>
      <c r="AT47" s="30">
        <v>1.1000000000000001E-3</v>
      </c>
      <c r="AU47" s="30"/>
      <c r="AV47" s="30">
        <v>6.0000000000000001E-3</v>
      </c>
      <c r="AW47" s="30">
        <v>1.9E-2</v>
      </c>
      <c r="AX47" s="30"/>
      <c r="AY47" s="30">
        <v>1.8499999999999999E-2</v>
      </c>
      <c r="AZ47" s="30">
        <v>3.2000000000000002E-3</v>
      </c>
      <c r="BA47" s="30">
        <v>2.5000000000000001E-2</v>
      </c>
      <c r="BB47" s="30">
        <v>1.55E-2</v>
      </c>
      <c r="BC47" s="30">
        <v>0.04</v>
      </c>
      <c r="BD47" s="30">
        <v>3.5000000000000003E-2</v>
      </c>
      <c r="BE47" s="30"/>
      <c r="BF47" s="30">
        <v>0.01</v>
      </c>
      <c r="BG47" s="30">
        <v>3.2000000000000001E-2</v>
      </c>
      <c r="BH47" s="30"/>
      <c r="BI47" s="30">
        <v>3.5000000000000003E-2</v>
      </c>
    </row>
    <row r="48" spans="1:61" ht="11.25" customHeight="1" x14ac:dyDescent="0.25">
      <c r="A48" s="15" t="s">
        <v>19</v>
      </c>
      <c r="B48" s="16"/>
      <c r="C48" s="17"/>
      <c r="D48" s="17"/>
      <c r="E48" s="18" t="str">
        <f t="shared" si="2"/>
        <v/>
      </c>
      <c r="F48" s="19" t="str">
        <f t="shared" si="3"/>
        <v>—</v>
      </c>
      <c r="G48" s="17">
        <v>6.6E-3</v>
      </c>
      <c r="H48" s="56"/>
      <c r="I48" s="6">
        <f t="shared" si="4"/>
        <v>6.6E-3</v>
      </c>
      <c r="K48" s="17">
        <v>0</v>
      </c>
      <c r="L48" s="17">
        <v>5.0138999999999996</v>
      </c>
      <c r="M48" s="17">
        <v>3.1497000000000002</v>
      </c>
      <c r="N48" s="17">
        <v>2.1073999999999999E-2</v>
      </c>
      <c r="O48" s="17">
        <v>0</v>
      </c>
      <c r="P48" s="17">
        <v>1.3000000000000001E-2</v>
      </c>
      <c r="Q48" s="17">
        <v>1.34E-2</v>
      </c>
      <c r="R48" s="17">
        <v>3.7256999999999998E-2</v>
      </c>
      <c r="S48" s="17">
        <v>4.4000000000000003E-3</v>
      </c>
      <c r="T48" s="17">
        <v>0</v>
      </c>
      <c r="U48" s="17">
        <v>0</v>
      </c>
      <c r="V48" s="17">
        <v>9.9900000000000006E-3</v>
      </c>
      <c r="W48" s="17">
        <v>2.3300000000000001E-2</v>
      </c>
      <c r="X48" s="17">
        <v>1.3899999999999999E-2</v>
      </c>
      <c r="Y48" s="17"/>
      <c r="Z48" s="17">
        <v>1.0999999999999999E-2</v>
      </c>
      <c r="AA48" s="17">
        <v>1.0999999999999999E-2</v>
      </c>
      <c r="AB48" s="17">
        <v>6.3E-3</v>
      </c>
      <c r="AC48" s="17">
        <v>6.6E-3</v>
      </c>
      <c r="AD48" s="17">
        <v>1.47E-2</v>
      </c>
      <c r="AE48" s="17">
        <v>2.069</v>
      </c>
      <c r="AF48" s="17">
        <v>6.0000000000000001E-3</v>
      </c>
      <c r="AG48" s="17">
        <v>6.6E-3</v>
      </c>
      <c r="AH48" s="17"/>
      <c r="AI48" s="17">
        <v>1.069E-2</v>
      </c>
      <c r="AJ48" s="17">
        <v>7.9600000000000005E-4</v>
      </c>
      <c r="AK48" s="17"/>
      <c r="AL48" s="17">
        <v>0.01</v>
      </c>
      <c r="AM48" s="17">
        <v>10.52</v>
      </c>
      <c r="AN48" s="17"/>
      <c r="AO48" s="17">
        <v>7.0000000000000001E-3</v>
      </c>
      <c r="AP48" s="17">
        <v>0.01</v>
      </c>
      <c r="AQ48" s="17">
        <v>1.2E-2</v>
      </c>
      <c r="AR48" s="17">
        <v>2.0990000000000002</v>
      </c>
      <c r="AS48" s="17"/>
      <c r="AT48" s="17">
        <v>6.4400000000000004E-3</v>
      </c>
      <c r="AU48" s="17">
        <v>9.4000000000000004E-3</v>
      </c>
      <c r="AV48" s="17">
        <v>5.5199999999999997E-3</v>
      </c>
      <c r="AW48" s="17">
        <v>1.6500000000000001E-2</v>
      </c>
      <c r="AX48" s="17">
        <v>7.77E-3</v>
      </c>
      <c r="AY48" s="17">
        <v>6.6E-3</v>
      </c>
      <c r="AZ48" s="17">
        <v>1.23E-2</v>
      </c>
      <c r="BA48" s="17">
        <v>1.2E-2</v>
      </c>
      <c r="BB48" s="17"/>
      <c r="BC48" s="17">
        <v>1.2E-2</v>
      </c>
      <c r="BD48" s="17">
        <v>2.8E-3</v>
      </c>
      <c r="BE48" s="17">
        <v>4.0000000000000001E-3</v>
      </c>
      <c r="BF48" s="17">
        <v>2E-3</v>
      </c>
      <c r="BG48" s="17">
        <v>6.6E-3</v>
      </c>
      <c r="BH48" s="17"/>
      <c r="BI48" s="17"/>
    </row>
    <row r="49" spans="1:61" ht="11.25" customHeight="1" x14ac:dyDescent="0.25">
      <c r="A49" s="20"/>
      <c r="B49" s="21" t="s">
        <v>16</v>
      </c>
      <c r="C49" s="22"/>
      <c r="D49" s="22"/>
      <c r="E49" s="18" t="str">
        <f t="shared" si="2"/>
        <v/>
      </c>
      <c r="F49" s="23" t="str">
        <f t="shared" si="3"/>
        <v>—</v>
      </c>
      <c r="G49" s="22">
        <v>0</v>
      </c>
      <c r="H49" s="56"/>
      <c r="I49" s="6">
        <f t="shared" si="4"/>
        <v>0</v>
      </c>
      <c r="K49" s="22"/>
      <c r="L49" s="22">
        <v>4.9955999999999996</v>
      </c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</row>
    <row r="50" spans="1:61" ht="11.25" customHeight="1" x14ac:dyDescent="0.25">
      <c r="A50" s="20"/>
      <c r="B50" s="21" t="s">
        <v>17</v>
      </c>
      <c r="C50" s="22"/>
      <c r="D50" s="22"/>
      <c r="E50" s="18" t="str">
        <f t="shared" si="2"/>
        <v/>
      </c>
      <c r="F50" s="23" t="str">
        <f t="shared" si="3"/>
        <v>—</v>
      </c>
      <c r="G50" s="22">
        <v>6.6E-3</v>
      </c>
      <c r="H50" s="56"/>
      <c r="I50" s="6">
        <f t="shared" si="4"/>
        <v>6.6E-3</v>
      </c>
      <c r="K50" s="22"/>
      <c r="L50" s="22">
        <v>1.83E-2</v>
      </c>
      <c r="M50" s="22"/>
      <c r="N50" s="22">
        <v>2.0899999999999998E-2</v>
      </c>
      <c r="O50" s="22"/>
      <c r="P50" s="22">
        <v>1.2E-2</v>
      </c>
      <c r="Q50" s="22">
        <v>1.34E-2</v>
      </c>
      <c r="R50" s="22"/>
      <c r="S50" s="22">
        <v>4.4000000000000003E-3</v>
      </c>
      <c r="T50" s="22"/>
      <c r="U50" s="22"/>
      <c r="V50" s="22">
        <v>9.9900000000000006E-3</v>
      </c>
      <c r="W50" s="22">
        <v>9.9000000000000008E-3</v>
      </c>
      <c r="X50" s="22">
        <v>1.3899999999999999E-2</v>
      </c>
      <c r="Y50" s="22"/>
      <c r="Z50" s="22">
        <v>9.9900000000000006E-3</v>
      </c>
      <c r="AA50" s="22">
        <v>1.0999999999999999E-2</v>
      </c>
      <c r="AB50" s="22">
        <v>6.3E-3</v>
      </c>
      <c r="AC50" s="22">
        <v>6.6E-3</v>
      </c>
      <c r="AD50" s="22">
        <v>1.47E-2</v>
      </c>
      <c r="AE50" s="22"/>
      <c r="AF50" s="22">
        <v>6.0000000000000001E-3</v>
      </c>
      <c r="AG50" s="22">
        <v>6.6E-3</v>
      </c>
      <c r="AH50" s="22"/>
      <c r="AI50" s="22">
        <v>1.069E-2</v>
      </c>
      <c r="AJ50" s="22">
        <v>7.9600000000000005E-4</v>
      </c>
      <c r="AK50" s="22"/>
      <c r="AL50" s="22">
        <v>0.01</v>
      </c>
      <c r="AM50" s="22"/>
      <c r="AN50" s="22"/>
      <c r="AO50" s="22">
        <v>7.0000000000000001E-3</v>
      </c>
      <c r="AP50" s="22">
        <v>0.01</v>
      </c>
      <c r="AQ50" s="22">
        <v>1.2E-2</v>
      </c>
      <c r="AR50" s="22"/>
      <c r="AS50" s="22"/>
      <c r="AT50" s="22">
        <v>3.7000000000000002E-3</v>
      </c>
      <c r="AU50" s="22">
        <v>9.4000000000000004E-3</v>
      </c>
      <c r="AV50" s="22">
        <v>5.5199999999999997E-3</v>
      </c>
      <c r="AW50" s="22">
        <v>1.6500000000000001E-2</v>
      </c>
      <c r="AX50" s="22">
        <v>7.77E-3</v>
      </c>
      <c r="AY50" s="22">
        <v>6.6E-3</v>
      </c>
      <c r="AZ50" s="22">
        <v>9.2589999999999999E-3</v>
      </c>
      <c r="BA50" s="22">
        <v>1.2E-2</v>
      </c>
      <c r="BB50" s="22"/>
      <c r="BC50" s="22">
        <v>1.2E-2</v>
      </c>
      <c r="BD50" s="22">
        <v>2.8E-3</v>
      </c>
      <c r="BE50" s="22">
        <v>4.0000000000000001E-3</v>
      </c>
      <c r="BF50" s="22">
        <v>2E-3</v>
      </c>
      <c r="BG50" s="22">
        <v>6.6E-3</v>
      </c>
      <c r="BH50" s="22"/>
      <c r="BI50" s="22"/>
    </row>
    <row r="51" spans="1:61" ht="11.25" customHeight="1" x14ac:dyDescent="0.25">
      <c r="A51" s="20"/>
      <c r="B51" s="21" t="s">
        <v>31</v>
      </c>
      <c r="C51" s="22"/>
      <c r="D51" s="22"/>
      <c r="E51" s="18" t="str">
        <f t="shared" si="2"/>
        <v/>
      </c>
      <c r="F51" s="23" t="str">
        <f t="shared" si="3"/>
        <v>—</v>
      </c>
      <c r="G51" s="22">
        <v>0</v>
      </c>
      <c r="H51" s="56"/>
      <c r="I51" s="6">
        <f t="shared" si="4"/>
        <v>0</v>
      </c>
      <c r="K51" s="22"/>
      <c r="L51" s="22"/>
      <c r="M51" s="22"/>
      <c r="N51" s="22">
        <v>1.74E-4</v>
      </c>
      <c r="O51" s="22"/>
      <c r="P51" s="22">
        <v>1E-3</v>
      </c>
      <c r="Q51" s="22"/>
      <c r="R51" s="22">
        <v>3.7256999999999998E-2</v>
      </c>
      <c r="S51" s="22"/>
      <c r="T51" s="22"/>
      <c r="U51" s="22"/>
      <c r="V51" s="22"/>
      <c r="W51" s="22">
        <v>1.2999999999999999E-2</v>
      </c>
      <c r="X51" s="22"/>
      <c r="Y51" s="22"/>
      <c r="Z51" s="22">
        <v>1E-3</v>
      </c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>
        <v>2.7000000000000001E-3</v>
      </c>
      <c r="AU51" s="22"/>
      <c r="AV51" s="22"/>
      <c r="AW51" s="22"/>
      <c r="AX51" s="22"/>
      <c r="AY51" s="22"/>
      <c r="AZ51" s="22">
        <v>3.0599999999999998E-3</v>
      </c>
      <c r="BA51" s="22"/>
      <c r="BB51" s="22"/>
      <c r="BC51" s="22"/>
      <c r="BD51" s="22"/>
      <c r="BE51" s="22"/>
      <c r="BF51" s="22"/>
      <c r="BG51" s="22"/>
      <c r="BH51" s="22"/>
      <c r="BI51" s="22"/>
    </row>
    <row r="52" spans="1:61" ht="11.25" customHeight="1" x14ac:dyDescent="0.25">
      <c r="A52" s="24" t="s">
        <v>33</v>
      </c>
      <c r="B52" s="25"/>
      <c r="C52" s="26">
        <v>9.9799999999999993E-3</v>
      </c>
      <c r="D52" s="26">
        <v>0.02</v>
      </c>
      <c r="E52" s="27" t="str">
        <f t="shared" si="2"/>
        <v></v>
      </c>
      <c r="F52" s="43">
        <f t="shared" si="3"/>
        <v>-0.50100000000000011</v>
      </c>
      <c r="G52" s="26">
        <v>4.9979999999999997E-2</v>
      </c>
      <c r="H52" s="56"/>
      <c r="I52" s="6">
        <f t="shared" si="4"/>
        <v>4.9979999999999997E-2</v>
      </c>
      <c r="K52" s="26">
        <v>0.02</v>
      </c>
      <c r="L52" s="26">
        <v>9.6799999999999994E-3</v>
      </c>
      <c r="M52" s="26">
        <v>9.8099999999999993E-3</v>
      </c>
      <c r="N52" s="26">
        <v>1.9539999999999998E-2</v>
      </c>
      <c r="O52" s="26">
        <v>0.02</v>
      </c>
      <c r="P52" s="26">
        <v>2.8000000000000001E-2</v>
      </c>
      <c r="Q52" s="26">
        <v>1.7999999999999999E-2</v>
      </c>
      <c r="R52" s="26">
        <v>0.03</v>
      </c>
      <c r="S52" s="26">
        <v>3.9E-2</v>
      </c>
      <c r="T52" s="26">
        <v>0.01</v>
      </c>
      <c r="U52" s="26">
        <v>3.9E-2</v>
      </c>
      <c r="V52" s="26">
        <v>0.04</v>
      </c>
      <c r="W52" s="26">
        <v>3.7100000000000001E-2</v>
      </c>
      <c r="X52" s="26">
        <v>3.78E-2</v>
      </c>
      <c r="Y52" s="26">
        <v>3.7999999999999999E-2</v>
      </c>
      <c r="Z52" s="26"/>
      <c r="AA52" s="26">
        <v>3.7999999999999999E-2</v>
      </c>
      <c r="AB52" s="26">
        <v>2.93E-2</v>
      </c>
      <c r="AC52" s="26">
        <v>2.9250000000000002E-2</v>
      </c>
      <c r="AD52" s="26">
        <v>2.9049999999999999E-2</v>
      </c>
      <c r="AE52" s="26">
        <v>2.928E-2</v>
      </c>
      <c r="AF52" s="26">
        <v>1.9400000000000001E-2</v>
      </c>
      <c r="AG52" s="26">
        <v>0.02</v>
      </c>
      <c r="AH52" s="26">
        <v>0.01</v>
      </c>
      <c r="AI52" s="26">
        <v>2.0299999999999999E-2</v>
      </c>
      <c r="AJ52" s="26">
        <v>2.0289999999999999E-2</v>
      </c>
      <c r="AK52" s="26">
        <v>0.02</v>
      </c>
      <c r="AL52" s="26">
        <v>1.9E-2</v>
      </c>
      <c r="AM52" s="26">
        <v>9.9100000000000004E-3</v>
      </c>
      <c r="AN52" s="26">
        <v>0.02</v>
      </c>
      <c r="AO52" s="26">
        <v>1.949E-2</v>
      </c>
      <c r="AP52" s="26">
        <v>0.02</v>
      </c>
      <c r="AQ52" s="26">
        <v>0.02</v>
      </c>
      <c r="AR52" s="26">
        <v>0.02</v>
      </c>
      <c r="AS52" s="26">
        <v>0.02</v>
      </c>
      <c r="AT52" s="26">
        <v>0.01</v>
      </c>
      <c r="AU52" s="26">
        <v>1.9900000000000001E-2</v>
      </c>
      <c r="AV52" s="26">
        <v>0.01</v>
      </c>
      <c r="AW52" s="26">
        <v>1.9699999999999999E-2</v>
      </c>
      <c r="AX52" s="26">
        <v>9.75E-3</v>
      </c>
      <c r="AY52" s="26">
        <v>1.967E-2</v>
      </c>
      <c r="AZ52" s="26">
        <v>9.9000000000000008E-3</v>
      </c>
      <c r="BA52" s="26">
        <v>9.7599999999999996E-3</v>
      </c>
      <c r="BB52" s="26">
        <v>0.02</v>
      </c>
      <c r="BC52" s="26">
        <v>0.02</v>
      </c>
      <c r="BD52" s="26">
        <v>0.02</v>
      </c>
      <c r="BE52" s="26">
        <v>0.01</v>
      </c>
      <c r="BF52" s="26">
        <v>0.01</v>
      </c>
      <c r="BG52" s="26">
        <v>0.02</v>
      </c>
      <c r="BH52" s="26">
        <v>0.02</v>
      </c>
      <c r="BI52" s="26">
        <v>9.9799999999999993E-3</v>
      </c>
    </row>
    <row r="53" spans="1:61" ht="11.25" customHeight="1" x14ac:dyDescent="0.25">
      <c r="A53" s="29"/>
      <c r="B53" s="32" t="s">
        <v>53</v>
      </c>
      <c r="C53" s="30">
        <v>9.9799999999999993E-3</v>
      </c>
      <c r="D53" s="30">
        <v>0.02</v>
      </c>
      <c r="E53" s="27" t="str">
        <f t="shared" si="2"/>
        <v></v>
      </c>
      <c r="F53" s="44">
        <f t="shared" si="3"/>
        <v>-0.50100000000000011</v>
      </c>
      <c r="G53" s="30">
        <v>4.9979999999999997E-2</v>
      </c>
      <c r="H53" s="56"/>
      <c r="I53" s="6">
        <f t="shared" si="4"/>
        <v>4.9979999999999997E-2</v>
      </c>
      <c r="K53" s="30">
        <v>0.02</v>
      </c>
      <c r="L53" s="30">
        <v>9.6799999999999994E-3</v>
      </c>
      <c r="M53" s="30">
        <v>9.8099999999999993E-3</v>
      </c>
      <c r="N53" s="30">
        <v>1.9539999999999998E-2</v>
      </c>
      <c r="O53" s="30">
        <v>0.02</v>
      </c>
      <c r="P53" s="30">
        <v>2.8000000000000001E-2</v>
      </c>
      <c r="Q53" s="30">
        <v>1.7999999999999999E-2</v>
      </c>
      <c r="R53" s="30">
        <v>0.03</v>
      </c>
      <c r="S53" s="30">
        <v>3.9E-2</v>
      </c>
      <c r="T53" s="30">
        <v>0.01</v>
      </c>
      <c r="U53" s="30">
        <v>3.9E-2</v>
      </c>
      <c r="V53" s="30">
        <v>0.04</v>
      </c>
      <c r="W53" s="30">
        <v>3.7100000000000001E-2</v>
      </c>
      <c r="X53" s="30">
        <v>3.78E-2</v>
      </c>
      <c r="Y53" s="30">
        <v>3.7999999999999999E-2</v>
      </c>
      <c r="Z53" s="30">
        <v>3.7999999999999999E-2</v>
      </c>
      <c r="AA53" s="30">
        <v>3.7999999999999999E-2</v>
      </c>
      <c r="AB53" s="30">
        <v>2.93E-2</v>
      </c>
      <c r="AC53" s="30">
        <v>2.9250000000000002E-2</v>
      </c>
      <c r="AD53" s="30">
        <v>2.9049999999999999E-2</v>
      </c>
      <c r="AE53" s="30">
        <v>2.928E-2</v>
      </c>
      <c r="AF53" s="30">
        <v>1.9400000000000001E-2</v>
      </c>
      <c r="AG53" s="30">
        <v>0.02</v>
      </c>
      <c r="AH53" s="30">
        <v>0.01</v>
      </c>
      <c r="AI53" s="30">
        <v>2.0299999999999999E-2</v>
      </c>
      <c r="AJ53" s="30">
        <v>2.0289999999999999E-2</v>
      </c>
      <c r="AK53" s="30">
        <v>0.02</v>
      </c>
      <c r="AL53" s="30">
        <v>1.9E-2</v>
      </c>
      <c r="AM53" s="30">
        <v>9.1000000000000004E-3</v>
      </c>
      <c r="AN53" s="30">
        <v>0.02</v>
      </c>
      <c r="AO53" s="30">
        <v>1.949E-2</v>
      </c>
      <c r="AP53" s="30">
        <v>0.02</v>
      </c>
      <c r="AQ53" s="30">
        <v>0.02</v>
      </c>
      <c r="AR53" s="30">
        <v>0</v>
      </c>
      <c r="AS53" s="30">
        <v>0.02</v>
      </c>
      <c r="AT53" s="30">
        <v>0.01</v>
      </c>
      <c r="AU53" s="30">
        <v>1.9900000000000001E-2</v>
      </c>
      <c r="AV53" s="30">
        <v>0.01</v>
      </c>
      <c r="AW53" s="30">
        <v>1.9699999999999999E-2</v>
      </c>
      <c r="AX53" s="30">
        <v>9.75E-3</v>
      </c>
      <c r="AY53" s="30">
        <v>1.967E-2</v>
      </c>
      <c r="AZ53" s="30">
        <v>9.9000000000000008E-3</v>
      </c>
      <c r="BA53" s="30">
        <v>9.7599999999999996E-3</v>
      </c>
      <c r="BB53" s="30">
        <v>0.02</v>
      </c>
      <c r="BC53" s="30">
        <v>0.02</v>
      </c>
      <c r="BD53" s="30">
        <v>0.02</v>
      </c>
      <c r="BE53" s="30">
        <v>0.01</v>
      </c>
      <c r="BF53" s="30">
        <v>0.01</v>
      </c>
      <c r="BG53" s="30">
        <v>0.02</v>
      </c>
      <c r="BH53" s="30">
        <v>0.02</v>
      </c>
      <c r="BI53" s="30">
        <v>9.9799999999999993E-3</v>
      </c>
    </row>
    <row r="54" spans="1:61" ht="11.25" customHeight="1" x14ac:dyDescent="0.25">
      <c r="A54" s="34" t="s">
        <v>12</v>
      </c>
      <c r="B54" s="37"/>
      <c r="C54" s="36">
        <v>2.1700000000000001E-2</v>
      </c>
      <c r="D54" s="36">
        <v>9.9000000000000005E-2</v>
      </c>
      <c r="E54" s="41" t="str">
        <f t="shared" si="2"/>
        <v></v>
      </c>
      <c r="F54" s="19">
        <f t="shared" si="3"/>
        <v>-0.78080808080808084</v>
      </c>
      <c r="G54" s="36">
        <v>0.29070000000000001</v>
      </c>
      <c r="H54" s="55"/>
      <c r="I54" s="6">
        <f t="shared" si="4"/>
        <v>0.29070000000000001</v>
      </c>
      <c r="K54" s="36"/>
      <c r="L54" s="36"/>
      <c r="M54" s="36"/>
      <c r="N54" s="36"/>
      <c r="O54" s="36"/>
      <c r="P54" s="36">
        <v>7.0000000000000007E-2</v>
      </c>
      <c r="Q54" s="36">
        <v>2.0299999999999998</v>
      </c>
      <c r="R54" s="36">
        <v>8.4332000000000004E-2</v>
      </c>
      <c r="S54" s="36">
        <v>6.7000000000000002E-3</v>
      </c>
      <c r="T54" s="36"/>
      <c r="U54" s="36"/>
      <c r="V54" s="36"/>
      <c r="W54" s="36"/>
      <c r="X54" s="36">
        <v>0.14000000000000001</v>
      </c>
      <c r="Y54" s="36">
        <v>5.1000000000000004E-3</v>
      </c>
      <c r="Z54" s="36">
        <v>6.4300000000000002E-4</v>
      </c>
      <c r="AA54" s="36">
        <v>7.5999999999999998E-2</v>
      </c>
      <c r="AB54" s="36">
        <v>2.5000000000000001E-5</v>
      </c>
      <c r="AC54" s="36">
        <v>4.6100000000000002E-2</v>
      </c>
      <c r="AD54" s="36">
        <v>7.1999999999999998E-3</v>
      </c>
      <c r="AE54" s="36">
        <v>2.1610000000000002E-3</v>
      </c>
      <c r="AF54" s="36">
        <v>0.01</v>
      </c>
      <c r="AG54" s="36">
        <v>2.7890000000000001</v>
      </c>
      <c r="AH54" s="36"/>
      <c r="AI54" s="36">
        <v>1.95E-2</v>
      </c>
      <c r="AJ54" s="36"/>
      <c r="AK54" s="36">
        <v>0.01</v>
      </c>
      <c r="AL54" s="36">
        <v>5.1999999999999998E-3</v>
      </c>
      <c r="AM54" s="36">
        <v>6.1999999999999998E-3</v>
      </c>
      <c r="AN54" s="36">
        <v>2.5</v>
      </c>
      <c r="AO54" s="36"/>
      <c r="AP54" s="36">
        <v>0.01</v>
      </c>
      <c r="AQ54" s="36">
        <v>0.01</v>
      </c>
      <c r="AR54" s="36">
        <v>3.79E-4</v>
      </c>
      <c r="AS54" s="36">
        <v>6.8000000000000005E-4</v>
      </c>
      <c r="AT54" s="36"/>
      <c r="AU54" s="36">
        <v>1.5900000000000001E-3</v>
      </c>
      <c r="AV54" s="36">
        <v>9.6599999999999995E-4</v>
      </c>
      <c r="AW54" s="36"/>
      <c r="AX54" s="36">
        <v>3.1303999999999998</v>
      </c>
      <c r="AY54" s="36">
        <v>2.5099999999999998E-4</v>
      </c>
      <c r="AZ54" s="36">
        <v>2.1299999999999999E-2</v>
      </c>
      <c r="BA54" s="36">
        <v>1.32E-2</v>
      </c>
      <c r="BB54" s="36">
        <v>9.7999999999999997E-3</v>
      </c>
      <c r="BC54" s="36">
        <v>0.01</v>
      </c>
      <c r="BD54" s="36">
        <v>0.65900000000000003</v>
      </c>
      <c r="BE54" s="36">
        <v>0.22900000000000001</v>
      </c>
      <c r="BF54" s="36">
        <v>0.249</v>
      </c>
      <c r="BG54" s="36">
        <v>0.17</v>
      </c>
      <c r="BH54" s="36">
        <v>9.9000000000000005E-2</v>
      </c>
      <c r="BI54" s="36">
        <v>2.1700000000000001E-2</v>
      </c>
    </row>
    <row r="55" spans="1:61" ht="11.25" customHeight="1" x14ac:dyDescent="0.25">
      <c r="A55" s="45" t="s">
        <v>20</v>
      </c>
      <c r="B55" s="25"/>
      <c r="C55" s="26">
        <v>24.92</v>
      </c>
      <c r="D55" s="26">
        <v>5.18</v>
      </c>
      <c r="E55" s="27" t="str">
        <f t="shared" si="2"/>
        <v></v>
      </c>
      <c r="F55" s="43">
        <f t="shared" si="3"/>
        <v>3.8108108108108114</v>
      </c>
      <c r="G55" s="26">
        <v>61.730000000000004</v>
      </c>
      <c r="H55" s="55"/>
      <c r="I55" s="6">
        <f t="shared" si="4"/>
        <v>61.730000000000004</v>
      </c>
      <c r="K55" s="26">
        <v>73.329439999999991</v>
      </c>
      <c r="L55" s="26">
        <v>103.52101999999999</v>
      </c>
      <c r="M55" s="26">
        <v>55.010423000000003</v>
      </c>
      <c r="N55" s="26">
        <v>62.483080999999999</v>
      </c>
      <c r="O55" s="26">
        <v>35.345000000000006</v>
      </c>
      <c r="P55" s="26">
        <v>33.775999999999996</v>
      </c>
      <c r="Q55" s="26">
        <v>17.294499999999999</v>
      </c>
      <c r="R55" s="26">
        <v>14.483749</v>
      </c>
      <c r="S55" s="26">
        <v>3.6561020000000002</v>
      </c>
      <c r="T55" s="26">
        <v>21.081000000000003</v>
      </c>
      <c r="U55" s="26">
        <v>10.828999999999999</v>
      </c>
      <c r="V55" s="26">
        <v>8.1252899999999997</v>
      </c>
      <c r="W55" s="26">
        <v>22.22</v>
      </c>
      <c r="X55" s="26">
        <v>17.22</v>
      </c>
      <c r="Y55" s="26">
        <v>19.309999999999999</v>
      </c>
      <c r="Z55" s="26">
        <v>22.75</v>
      </c>
      <c r="AA55" s="26">
        <v>15.71</v>
      </c>
      <c r="AB55" s="26">
        <v>15.83</v>
      </c>
      <c r="AC55" s="26">
        <v>11.44</v>
      </c>
      <c r="AD55" s="26">
        <v>14.1</v>
      </c>
      <c r="AE55" s="26">
        <v>11.996</v>
      </c>
      <c r="AF55" s="26">
        <v>10.67</v>
      </c>
      <c r="AG55" s="26">
        <v>18.260000000000002</v>
      </c>
      <c r="AH55" s="26">
        <v>8.19</v>
      </c>
      <c r="AI55" s="26">
        <v>19.39</v>
      </c>
      <c r="AJ55" s="26">
        <v>22.11</v>
      </c>
      <c r="AK55" s="26">
        <v>20.66</v>
      </c>
      <c r="AL55" s="26">
        <v>13.46</v>
      </c>
      <c r="AM55" s="26">
        <v>38.119999999999997</v>
      </c>
      <c r="AN55" s="26">
        <v>11.52</v>
      </c>
      <c r="AO55" s="26">
        <v>16.28</v>
      </c>
      <c r="AP55" s="26">
        <v>17.89</v>
      </c>
      <c r="AQ55" s="26">
        <v>10.9</v>
      </c>
      <c r="AR55" s="26">
        <v>17.25</v>
      </c>
      <c r="AS55" s="26">
        <v>14.26</v>
      </c>
      <c r="AT55" s="26">
        <v>8.7799999999999994</v>
      </c>
      <c r="AU55" s="26">
        <v>8.77</v>
      </c>
      <c r="AV55" s="26">
        <v>14.21</v>
      </c>
      <c r="AW55" s="26">
        <v>14.83</v>
      </c>
      <c r="AX55" s="26">
        <v>18.059999999999999</v>
      </c>
      <c r="AY55" s="26">
        <v>17.38</v>
      </c>
      <c r="AZ55" s="26">
        <v>10.09</v>
      </c>
      <c r="BA55" s="26">
        <v>4.22</v>
      </c>
      <c r="BB55" s="26">
        <v>8.7899999999999991</v>
      </c>
      <c r="BC55" s="26">
        <v>10.9</v>
      </c>
      <c r="BD55" s="26">
        <v>9.3699999999999992</v>
      </c>
      <c r="BE55" s="26">
        <v>7.31</v>
      </c>
      <c r="BF55" s="26">
        <v>9.5299999999999994</v>
      </c>
      <c r="BG55" s="26">
        <v>31.63</v>
      </c>
      <c r="BH55" s="26">
        <v>5.18</v>
      </c>
      <c r="BI55" s="26">
        <v>24.92</v>
      </c>
    </row>
    <row r="61" spans="1:61" x14ac:dyDescent="0.25">
      <c r="E61" s="13"/>
    </row>
    <row r="62" spans="1:61" x14ac:dyDescent="0.25">
      <c r="E62" s="13"/>
    </row>
    <row r="63" spans="1:61" x14ac:dyDescent="0.25">
      <c r="E63" s="13"/>
    </row>
    <row r="64" spans="1:61" x14ac:dyDescent="0.25"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AG64" s="6"/>
      <c r="AH64" s="6"/>
      <c r="AI64" s="6"/>
      <c r="AJ64" s="6"/>
      <c r="AK64" s="6"/>
      <c r="AL64" s="6"/>
      <c r="AM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</row>
    <row r="65" spans="1:61" x14ac:dyDescent="0.25">
      <c r="E65" s="13"/>
    </row>
    <row r="66" spans="1:61" x14ac:dyDescent="0.25">
      <c r="E66" s="13"/>
    </row>
    <row r="67" spans="1:61" x14ac:dyDescent="0.25">
      <c r="A67" t="s">
        <v>88</v>
      </c>
    </row>
    <row r="68" spans="1:61" ht="11.25" customHeight="1" x14ac:dyDescent="0.25">
      <c r="A68" s="39"/>
      <c r="B68" s="37" t="s">
        <v>18</v>
      </c>
      <c r="C68" s="38"/>
      <c r="D68" s="38"/>
      <c r="E68" s="41" t="str">
        <f>IF(OR(F68="=",F68="≈",F68="—"),"",IF(F68&gt;0,"",IF(F68&lt;0,"","")))</f>
        <v/>
      </c>
      <c r="F68" s="23" t="str">
        <f>IFERROR(IF(C68/D68-1=0,"=",IF(C68/D68-1=-1,"—",IF(OR(AND(C68/D68-1&lt;0.005,C68/D68-1&gt;0), AND(C68/D68-1&lt;0,C68/D68-1&gt;-0.005)),"≈",C68/D68-1))),"—")</f>
        <v>—</v>
      </c>
      <c r="G68" s="38">
        <v>0</v>
      </c>
      <c r="H68" s="56"/>
      <c r="I68" s="6">
        <f>SUM(AU68:BF68)</f>
        <v>0</v>
      </c>
      <c r="K68" s="38"/>
      <c r="L68" s="38">
        <v>19.329999999999998</v>
      </c>
      <c r="M68" s="38"/>
      <c r="N68" s="38"/>
      <c r="O68" s="38"/>
      <c r="P68" s="38">
        <v>6.2709999999999999</v>
      </c>
      <c r="Q68" s="38">
        <v>6.2</v>
      </c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38"/>
      <c r="BD68" s="38"/>
      <c r="BE68" s="38"/>
      <c r="BF68" s="38"/>
      <c r="BG68" s="38"/>
      <c r="BH68" s="38"/>
      <c r="BI68" s="38"/>
    </row>
    <row r="69" spans="1:61" ht="11.25" customHeight="1" x14ac:dyDescent="0.25">
      <c r="A69" s="39"/>
      <c r="B69" s="37" t="s">
        <v>30</v>
      </c>
      <c r="C69" s="38"/>
      <c r="D69" s="38"/>
      <c r="E69" s="41" t="str">
        <f>IF(OR(F69="=",F69="≈",F69="—"),"",IF(F69&gt;0,"",IF(F69&lt;0,"","")))</f>
        <v/>
      </c>
      <c r="F69" s="23" t="str">
        <f>IFERROR(IF(C69/D69-1=0,"=",IF(C69/D69-1=-1,"—",IF(OR(AND(C69/D69-1&lt;0.005,C69/D69-1&gt;0), AND(C69/D69-1&lt;0,C69/D69-1&gt;-0.005)),"≈",C69/D69-1))),"—")</f>
        <v>—</v>
      </c>
      <c r="G69" s="38">
        <v>0</v>
      </c>
      <c r="H69" s="56"/>
      <c r="I69" s="6">
        <f>SUM(AU69:BF69)</f>
        <v>0</v>
      </c>
      <c r="K69" s="38"/>
      <c r="L69" s="38">
        <v>7.1577000000000002</v>
      </c>
      <c r="M69" s="38">
        <v>3.629</v>
      </c>
      <c r="N69" s="38">
        <v>6.7084999999999999</v>
      </c>
      <c r="O69" s="38"/>
      <c r="P69" s="38">
        <v>6.2859999999999996</v>
      </c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  <c r="BD69" s="38"/>
      <c r="BE69" s="38"/>
      <c r="BF69" s="38"/>
      <c r="BG69" s="38"/>
      <c r="BH69" s="38"/>
      <c r="BI69" s="38"/>
    </row>
    <row r="70" spans="1:61" ht="11.25" customHeight="1" x14ac:dyDescent="0.25">
      <c r="A70" s="39"/>
      <c r="B70" s="39" t="s">
        <v>32</v>
      </c>
      <c r="C70" s="38"/>
      <c r="D70" s="38"/>
      <c r="E70" s="41" t="str">
        <f>IF(OR(F70="=",F70="≈",F70="—"),"",IF(F70&gt;0,"",IF(F70&lt;0,"","")))</f>
        <v/>
      </c>
      <c r="F70" s="23" t="str">
        <f>IFERROR(IF(C70/D70-1=0,"=",IF(C70/D70-1=-1,"—",IF(OR(AND(C70/D70-1&lt;0.005,C70/D70-1&gt;0), AND(C70/D70-1&lt;0,C70/D70-1&gt;-0.005)),"≈",C70/D70-1))),"—")</f>
        <v>—</v>
      </c>
      <c r="G70" s="38">
        <v>0</v>
      </c>
      <c r="H70" s="56"/>
      <c r="I70" s="6">
        <f>SUM(AU70:BF70)</f>
        <v>0</v>
      </c>
      <c r="K70" s="38"/>
      <c r="L70" s="38">
        <v>6.2373000000000003</v>
      </c>
      <c r="M70" s="38"/>
      <c r="N70" s="38">
        <v>5.2249999999999996</v>
      </c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38"/>
      <c r="AO70" s="38"/>
      <c r="AP70" s="38"/>
      <c r="AQ70" s="38"/>
      <c r="AR70" s="38"/>
      <c r="AS70" s="38"/>
      <c r="AT70" s="38"/>
      <c r="AU70" s="38"/>
      <c r="AV70" s="38"/>
      <c r="AW70" s="38"/>
      <c r="AX70" s="38"/>
      <c r="AY70" s="38"/>
      <c r="AZ70" s="38"/>
      <c r="BA70" s="38"/>
      <c r="BB70" s="38"/>
      <c r="BC70" s="38"/>
      <c r="BD70" s="38"/>
      <c r="BE70" s="38"/>
      <c r="BF70" s="38"/>
      <c r="BG70" s="38"/>
      <c r="BH70" s="38"/>
      <c r="BI70" s="38"/>
    </row>
    <row r="71" spans="1:61" ht="11.25" customHeight="1" x14ac:dyDescent="0.25">
      <c r="A71" s="39"/>
      <c r="B71" s="37" t="s">
        <v>28</v>
      </c>
      <c r="C71" s="38"/>
      <c r="D71" s="38"/>
      <c r="E71" s="41" t="str">
        <f>IF(OR(F71="=",F71="≈",F71="—"),"",IF(F71&gt;0,"",IF(F71&lt;0,"","")))</f>
        <v/>
      </c>
      <c r="F71" s="23" t="str">
        <f>IFERROR(IF(C71/D71-1=0,"=",IF(C71/D71-1=-1,"—",IF(OR(AND(C71/D71-1&lt;0.005,C71/D71-1&gt;0), AND(C71/D71-1&lt;0,C71/D71-1&gt;-0.005)),"≈",C71/D71-1))),"—")</f>
        <v>—</v>
      </c>
      <c r="G71" s="38">
        <v>0</v>
      </c>
      <c r="H71" s="56"/>
      <c r="I71" s="6">
        <f>SUM(AU71:BF71)</f>
        <v>0</v>
      </c>
      <c r="K71" s="38"/>
      <c r="L71" s="38">
        <v>3.3079999999999998</v>
      </c>
      <c r="M71" s="38"/>
      <c r="N71" s="38">
        <v>6.2492999999999999</v>
      </c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</row>
    <row r="74" spans="1:61" x14ac:dyDescent="0.25">
      <c r="A74" t="s">
        <v>89</v>
      </c>
    </row>
    <row r="75" spans="1:61" ht="11.25" customHeight="1" x14ac:dyDescent="0.25">
      <c r="A75" s="39"/>
      <c r="B75" s="37" t="s">
        <v>39</v>
      </c>
      <c r="C75" s="38"/>
      <c r="D75" s="38"/>
      <c r="E75" s="41" t="str">
        <f>IF(OR(F75="=",F75="≈",F75="—"),"",IF(F75&gt;0,"",IF(F75&lt;0,"","")))</f>
        <v/>
      </c>
      <c r="F75" s="23" t="str">
        <f>IFERROR(IF(C75/D75-1=0,"=",IF(C75/D75-1=-1,"—",IF(OR(AND(C75/D75-1&lt;0.005,C75/D75-1&gt;0), AND(C75/D75-1&lt;0,C75/D75-1&gt;-0.005)),"≈",C75/D75-1))),"—")</f>
        <v>—</v>
      </c>
      <c r="G75" s="38">
        <v>0</v>
      </c>
      <c r="H75" s="55"/>
      <c r="I75" s="6">
        <f>SUM(AU75:BF75)</f>
        <v>0</v>
      </c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>
        <v>0.91500000000000004</v>
      </c>
      <c r="AA75" s="38">
        <v>0.91</v>
      </c>
      <c r="AB75" s="38">
        <v>0.93700000000000006</v>
      </c>
      <c r="AC75" s="38"/>
      <c r="AD75" s="38">
        <v>0.99199999999999999</v>
      </c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  <c r="BE75" s="38"/>
      <c r="BF75" s="38"/>
      <c r="BG75" s="38"/>
      <c r="BH75" s="38"/>
      <c r="BI75" s="38"/>
    </row>
    <row r="76" spans="1:61" ht="11.25" customHeight="1" x14ac:dyDescent="0.25">
      <c r="A76" s="39"/>
      <c r="B76" s="37" t="s">
        <v>53</v>
      </c>
      <c r="C76" s="38"/>
      <c r="D76" s="38"/>
      <c r="E76" s="41" t="str">
        <f t="shared" ref="E76:E77" si="5">IF(OR(F76="=",F76="≈",F76="—"),"",IF(F76&gt;0,"",IF(F76&lt;0,"","")))</f>
        <v/>
      </c>
      <c r="F76" s="23" t="str">
        <f t="shared" ref="F76:F77" si="6">IFERROR(IF(C76/D76-1=0,"=",IF(C76/D76-1=-1,"—",IF(OR(AND(C76/D76-1&lt;0.005,C76/D76-1&gt;0), AND(C76/D76-1&lt;0,C76/D76-1&gt;-0.005)),"≈",C76/D76-1))),"—")</f>
        <v>—</v>
      </c>
      <c r="G76" s="38">
        <v>0</v>
      </c>
      <c r="H76" s="55"/>
      <c r="I76" s="6">
        <f>SUM(AU76:BF76)</f>
        <v>0</v>
      </c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>
        <v>1.996</v>
      </c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  <c r="BE76" s="38"/>
      <c r="BF76" s="38"/>
      <c r="BG76" s="38"/>
      <c r="BH76" s="38"/>
      <c r="BI76" s="38"/>
    </row>
    <row r="77" spans="1:61" ht="11.25" customHeight="1" x14ac:dyDescent="0.25">
      <c r="A77" s="39"/>
      <c r="B77" s="37" t="s">
        <v>73</v>
      </c>
      <c r="C77" s="38"/>
      <c r="D77" s="38"/>
      <c r="E77" s="41" t="str">
        <f t="shared" si="5"/>
        <v/>
      </c>
      <c r="F77" s="23" t="str">
        <f t="shared" si="6"/>
        <v>—</v>
      </c>
      <c r="G77" s="38">
        <v>0</v>
      </c>
      <c r="H77" s="55"/>
      <c r="I77" s="6">
        <f>SUM(AU77:BF77)</f>
        <v>0</v>
      </c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>
        <v>2.625</v>
      </c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8"/>
      <c r="BH77" s="38"/>
      <c r="BI77" s="38"/>
    </row>
    <row r="78" spans="1:61" ht="11.25" customHeight="1" x14ac:dyDescent="0.25">
      <c r="A78" s="39"/>
      <c r="B78" s="37" t="s">
        <v>16</v>
      </c>
      <c r="C78" s="38"/>
      <c r="D78" s="38"/>
      <c r="E78" s="41" t="str">
        <f>IF(OR(F78="=",F78="≈",F78="—"),"",IF(F78&gt;0,"",IF(F78&lt;0,"","")))</f>
        <v/>
      </c>
      <c r="F78" s="23" t="str">
        <f>IFERROR(IF(C78/D78-1=0,"=",IF(C78/D78-1=-1,"—",IF(OR(AND(C78/D78-1&lt;0.005,C78/D78-1&gt;0), AND(C78/D78-1&lt;0,C78/D78-1&gt;-0.005)),"≈",C78/D78-1))),"—")</f>
        <v>—</v>
      </c>
      <c r="G78" s="38">
        <v>0</v>
      </c>
      <c r="H78" s="55"/>
      <c r="I78" s="6">
        <f>SUM(AU78:BF78)</f>
        <v>0</v>
      </c>
      <c r="K78" s="38"/>
      <c r="L78" s="38"/>
      <c r="M78" s="38"/>
      <c r="N78" s="38"/>
      <c r="O78" s="38"/>
      <c r="P78" s="38">
        <v>2.33</v>
      </c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8"/>
      <c r="AO78" s="38"/>
      <c r="AP78" s="38"/>
      <c r="AQ78" s="38"/>
      <c r="AR78" s="38"/>
      <c r="AS78" s="38"/>
      <c r="AT78" s="38"/>
      <c r="AU78" s="38"/>
      <c r="AV78" s="38"/>
      <c r="AW78" s="38"/>
      <c r="AX78" s="38"/>
      <c r="AY78" s="38"/>
      <c r="AZ78" s="38"/>
      <c r="BA78" s="38"/>
      <c r="BB78" s="38"/>
      <c r="BC78" s="38"/>
      <c r="BD78" s="38"/>
      <c r="BE78" s="38"/>
      <c r="BF78" s="38"/>
      <c r="BG78" s="38"/>
      <c r="BH78" s="38"/>
      <c r="BI78" s="38"/>
    </row>
    <row r="80" spans="1:61" x14ac:dyDescent="0.25">
      <c r="A80" t="s">
        <v>93</v>
      </c>
    </row>
    <row r="81" spans="1:61" ht="11.25" customHeight="1" x14ac:dyDescent="0.25">
      <c r="A81" s="20"/>
      <c r="B81" s="21" t="s">
        <v>30</v>
      </c>
      <c r="C81" s="22"/>
      <c r="D81" s="22"/>
      <c r="E81" s="18" t="str">
        <f t="shared" ref="E81:E84" si="7">IF(OR(F81="=",F81="≈",F81="—"),"",IF(F81&gt;0,"",IF(F81&lt;0,"","")))</f>
        <v/>
      </c>
      <c r="F81" s="23" t="str">
        <f t="shared" ref="F81:F84" si="8">IFERROR(IF(C81/D81-1=0,"=",IF(C81/D81-1=-1,"—",IF(OR(AND(C81/D81-1&lt;0.005,C81/D81-1&gt;0), AND(C81/D81-1&lt;0,C81/D81-1&gt;-0.005)),"≈",C81/D81-1))),"—")</f>
        <v>—</v>
      </c>
      <c r="G81" s="22">
        <v>0</v>
      </c>
      <c r="H81" s="56"/>
      <c r="I81" s="6">
        <f t="shared" ref="I81:I84" si="9">SUM(AU81:BF81)</f>
        <v>0</v>
      </c>
      <c r="K81" s="22"/>
      <c r="L81" s="22"/>
      <c r="M81" s="22">
        <v>3.1497000000000002</v>
      </c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>
        <v>2.7610000000000001</v>
      </c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</row>
    <row r="82" spans="1:61" ht="11.25" customHeight="1" x14ac:dyDescent="0.25">
      <c r="A82" s="39"/>
      <c r="B82" s="37" t="s">
        <v>73</v>
      </c>
      <c r="C82" s="38"/>
      <c r="D82" s="38"/>
      <c r="E82" s="41" t="str">
        <f t="shared" si="7"/>
        <v/>
      </c>
      <c r="F82" s="23" t="str">
        <f t="shared" si="8"/>
        <v>—</v>
      </c>
      <c r="G82" s="38">
        <v>0</v>
      </c>
      <c r="H82" s="55"/>
      <c r="I82" s="6">
        <f t="shared" si="9"/>
        <v>0</v>
      </c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>
        <v>7.7569999999999997</v>
      </c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8"/>
      <c r="BI82" s="38"/>
    </row>
    <row r="83" spans="1:61" ht="11.25" customHeight="1" x14ac:dyDescent="0.25">
      <c r="A83" s="39"/>
      <c r="B83" s="37" t="s">
        <v>11</v>
      </c>
      <c r="C83" s="38"/>
      <c r="D83" s="38"/>
      <c r="E83" s="41" t="str">
        <f t="shared" si="7"/>
        <v/>
      </c>
      <c r="F83" s="23" t="str">
        <f t="shared" si="8"/>
        <v>—</v>
      </c>
      <c r="G83" s="38">
        <v>0</v>
      </c>
      <c r="H83" s="56"/>
      <c r="I83" s="6">
        <f t="shared" si="9"/>
        <v>0</v>
      </c>
      <c r="J83" s="7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>
        <v>2.069</v>
      </c>
      <c r="AF83" s="38"/>
      <c r="AG83" s="38"/>
      <c r="AH83" s="38"/>
      <c r="AI83" s="38"/>
      <c r="AJ83" s="38"/>
      <c r="AK83" s="38"/>
      <c r="AL83" s="38">
        <v>2.4399999999999999E-4</v>
      </c>
      <c r="AM83" s="38"/>
      <c r="AN83" s="38"/>
      <c r="AO83" s="38"/>
      <c r="AP83" s="38"/>
      <c r="AQ83" s="38"/>
      <c r="AR83" s="38"/>
      <c r="AS83" s="38"/>
      <c r="AT83" s="38"/>
      <c r="AU83" s="38"/>
      <c r="AV83" s="38"/>
      <c r="AW83" s="38"/>
      <c r="AX83" s="38"/>
      <c r="AY83" s="38"/>
      <c r="AZ83" s="38"/>
      <c r="BA83" s="38"/>
      <c r="BB83" s="38"/>
      <c r="BC83" s="38"/>
      <c r="BD83" s="38"/>
      <c r="BE83" s="38"/>
      <c r="BF83" s="38"/>
      <c r="BG83" s="38"/>
      <c r="BH83" s="38"/>
      <c r="BI83" s="38"/>
    </row>
    <row r="84" spans="1:61" ht="11.25" customHeight="1" x14ac:dyDescent="0.25">
      <c r="A84" s="39"/>
      <c r="B84" s="37" t="s">
        <v>53</v>
      </c>
      <c r="C84" s="38"/>
      <c r="D84" s="38"/>
      <c r="E84" s="41" t="str">
        <f t="shared" si="7"/>
        <v/>
      </c>
      <c r="F84" s="23" t="str">
        <f t="shared" si="8"/>
        <v>—</v>
      </c>
      <c r="G84" s="38">
        <v>0</v>
      </c>
      <c r="H84" s="56"/>
      <c r="I84" s="6">
        <f t="shared" si="9"/>
        <v>0</v>
      </c>
      <c r="J84" s="7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38"/>
      <c r="AM84" s="38"/>
      <c r="AN84" s="38"/>
      <c r="AO84" s="38"/>
      <c r="AP84" s="38"/>
      <c r="AQ84" s="38"/>
      <c r="AR84" s="38">
        <v>2.0990000000000002</v>
      </c>
      <c r="AS84" s="38"/>
      <c r="AT84" s="38"/>
      <c r="AU84" s="38"/>
      <c r="AV84" s="38"/>
      <c r="AW84" s="38"/>
      <c r="AX84" s="38"/>
      <c r="AY84" s="38"/>
      <c r="AZ84" s="38"/>
      <c r="BA84" s="38"/>
      <c r="BB84" s="38"/>
      <c r="BC84" s="38"/>
      <c r="BD84" s="38"/>
      <c r="BE84" s="38"/>
      <c r="BF84" s="38"/>
      <c r="BG84" s="38"/>
      <c r="BH84" s="38"/>
      <c r="BI84" s="38"/>
    </row>
    <row r="87" spans="1:61" x14ac:dyDescent="0.25">
      <c r="A87" t="s">
        <v>94</v>
      </c>
    </row>
    <row r="88" spans="1:61" ht="11.25" customHeight="1" x14ac:dyDescent="0.25">
      <c r="A88" s="29"/>
      <c r="B88" s="32" t="s">
        <v>37</v>
      </c>
      <c r="C88" s="30"/>
      <c r="D88" s="30"/>
      <c r="E88" s="27" t="str">
        <f t="shared" ref="E88:E91" si="10">IF(OR(F88="=",F88="≈",F88="—"),"",IF(F88&gt;0,"",IF(F88&lt;0,"","")))</f>
        <v/>
      </c>
      <c r="F88" s="31" t="str">
        <f t="shared" ref="F88:F91" si="11">IFERROR(IF(C88/D88-1=0,"=",IF(C88/D88-1=-1,"—",IF(OR(AND(C88/D88-1&lt;0.005,C88/D88-1&gt;0), AND(C88/D88-1&lt;0,C88/D88-1&gt;-0.005)),"≈",C88/D88-1))),"—")</f>
        <v>—</v>
      </c>
      <c r="G88" s="30">
        <v>0</v>
      </c>
      <c r="H88" s="56"/>
      <c r="I88" s="6">
        <f t="shared" ref="I88:I91" si="12">SUM(AU88:BF88)</f>
        <v>0</v>
      </c>
      <c r="K88" s="30"/>
      <c r="L88" s="30"/>
      <c r="M88" s="30">
        <v>1.9598</v>
      </c>
      <c r="N88" s="30">
        <v>2.9352</v>
      </c>
      <c r="O88" s="30">
        <v>1.8859999999999999</v>
      </c>
      <c r="P88" s="30">
        <v>1.87</v>
      </c>
      <c r="Q88" s="30">
        <v>1.01</v>
      </c>
      <c r="R88" s="30">
        <v>0.92454999999999998</v>
      </c>
      <c r="S88" s="30">
        <v>0.88800000000000001</v>
      </c>
      <c r="T88" s="30">
        <v>1.91</v>
      </c>
      <c r="U88" s="30">
        <v>1.8640000000000001</v>
      </c>
      <c r="V88" s="30">
        <v>0.93700000000000006</v>
      </c>
      <c r="W88" s="30">
        <v>1.9648000000000001</v>
      </c>
      <c r="X88" s="30">
        <v>0.95599999999999996</v>
      </c>
      <c r="Y88" s="30">
        <v>0.93300000000000005</v>
      </c>
      <c r="Z88" s="30">
        <v>0.92900000000000005</v>
      </c>
      <c r="AA88" s="30">
        <v>0.93</v>
      </c>
      <c r="AB88" s="30">
        <v>0.95</v>
      </c>
      <c r="AC88" s="30">
        <v>0.94099999999999995</v>
      </c>
      <c r="AD88" s="30">
        <v>0.89600000000000002</v>
      </c>
      <c r="AE88" s="30">
        <v>0.90395000000000003</v>
      </c>
      <c r="AF88" s="30">
        <v>0.95150000000000001</v>
      </c>
      <c r="AG88" s="30">
        <v>0.9194</v>
      </c>
      <c r="AH88" s="30"/>
      <c r="AI88" s="30">
        <v>1.879</v>
      </c>
      <c r="AJ88" s="30">
        <v>0.92800000000000005</v>
      </c>
      <c r="AK88" s="30">
        <v>0.93</v>
      </c>
      <c r="AL88" s="30"/>
      <c r="AM88" s="30">
        <v>0.93589999999999995</v>
      </c>
      <c r="AN88" s="30"/>
      <c r="AO88" s="30">
        <v>1.8620000000000001</v>
      </c>
      <c r="AP88" s="30">
        <v>0.91</v>
      </c>
      <c r="AQ88" s="30">
        <v>0.89900000000000002</v>
      </c>
      <c r="AR88" s="30">
        <v>0.87490000000000001</v>
      </c>
      <c r="AS88" s="30">
        <v>0.91100000000000003</v>
      </c>
      <c r="AT88" s="30">
        <v>1.875</v>
      </c>
      <c r="AU88" s="30"/>
      <c r="AV88" s="30"/>
      <c r="AW88" s="30"/>
      <c r="AX88" s="30"/>
      <c r="AY88" s="30"/>
      <c r="AZ88" s="30"/>
      <c r="BA88" s="30"/>
      <c r="BB88" s="30"/>
      <c r="BC88" s="30"/>
      <c r="BD88" s="30"/>
      <c r="BE88" s="30"/>
      <c r="BF88" s="30"/>
      <c r="BG88" s="30"/>
      <c r="BH88" s="30"/>
      <c r="BI88" s="30"/>
    </row>
    <row r="89" spans="1:61" ht="11.25" customHeight="1" x14ac:dyDescent="0.25">
      <c r="A89" s="29"/>
      <c r="B89" s="32" t="s">
        <v>35</v>
      </c>
      <c r="C89" s="30"/>
      <c r="D89" s="30"/>
      <c r="E89" s="27" t="str">
        <f t="shared" si="10"/>
        <v/>
      </c>
      <c r="F89" s="31" t="str">
        <f t="shared" si="11"/>
        <v>—</v>
      </c>
      <c r="G89" s="30">
        <v>0</v>
      </c>
      <c r="H89" s="56"/>
      <c r="I89" s="6">
        <f t="shared" si="12"/>
        <v>0</v>
      </c>
      <c r="K89" s="30">
        <v>1.014</v>
      </c>
      <c r="L89" s="30">
        <v>1.0456000000000001</v>
      </c>
      <c r="M89" s="30">
        <v>3.0116999999999998</v>
      </c>
      <c r="N89" s="30"/>
      <c r="O89" s="30">
        <v>1.0209999999999999</v>
      </c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30"/>
      <c r="AN89" s="30"/>
      <c r="AO89" s="30"/>
      <c r="AP89" s="30"/>
      <c r="AQ89" s="30"/>
      <c r="AR89" s="30"/>
      <c r="AS89" s="30"/>
      <c r="AT89" s="30"/>
      <c r="AU89" s="30"/>
      <c r="AV89" s="30"/>
      <c r="AW89" s="30"/>
      <c r="AX89" s="30"/>
      <c r="AY89" s="30"/>
      <c r="AZ89" s="30"/>
      <c r="BA89" s="30"/>
      <c r="BB89" s="30"/>
      <c r="BC89" s="30"/>
      <c r="BD89" s="30"/>
      <c r="BE89" s="30"/>
      <c r="BF89" s="30"/>
      <c r="BG89" s="30"/>
      <c r="BH89" s="30"/>
      <c r="BI89" s="30"/>
    </row>
    <row r="90" spans="1:61" ht="11.25" customHeight="1" x14ac:dyDescent="0.25">
      <c r="A90" s="29"/>
      <c r="B90" s="32" t="s">
        <v>32</v>
      </c>
      <c r="C90" s="30"/>
      <c r="D90" s="30"/>
      <c r="E90" s="27" t="str">
        <f t="shared" si="10"/>
        <v/>
      </c>
      <c r="F90" s="31" t="str">
        <f t="shared" si="11"/>
        <v>—</v>
      </c>
      <c r="G90" s="30">
        <v>0</v>
      </c>
      <c r="H90" s="56"/>
      <c r="I90" s="6">
        <f t="shared" si="12"/>
        <v>0</v>
      </c>
      <c r="K90" s="30"/>
      <c r="L90" s="30"/>
      <c r="M90" s="30"/>
      <c r="N90" s="30"/>
      <c r="O90" s="30">
        <v>1.002</v>
      </c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  <c r="AM90" s="30"/>
      <c r="AN90" s="30"/>
      <c r="AO90" s="30"/>
      <c r="AP90" s="30"/>
      <c r="AQ90" s="30"/>
      <c r="AR90" s="30"/>
      <c r="AS90" s="30"/>
      <c r="AT90" s="30"/>
      <c r="AU90" s="30"/>
      <c r="AV90" s="30"/>
      <c r="AW90" s="30"/>
      <c r="AX90" s="30"/>
      <c r="AY90" s="30"/>
      <c r="AZ90" s="30"/>
      <c r="BA90" s="30"/>
      <c r="BB90" s="30"/>
      <c r="BC90" s="30"/>
      <c r="BD90" s="30"/>
      <c r="BE90" s="30"/>
      <c r="BF90" s="30"/>
      <c r="BG90" s="30"/>
      <c r="BH90" s="30"/>
      <c r="BI90" s="30"/>
    </row>
    <row r="91" spans="1:61" ht="11.25" customHeight="1" x14ac:dyDescent="0.25">
      <c r="A91" s="29"/>
      <c r="B91" s="32" t="s">
        <v>36</v>
      </c>
      <c r="C91" s="30"/>
      <c r="D91" s="30"/>
      <c r="E91" s="27" t="str">
        <f t="shared" si="10"/>
        <v/>
      </c>
      <c r="F91" s="31" t="str">
        <f t="shared" si="11"/>
        <v>—</v>
      </c>
      <c r="G91" s="30">
        <v>0</v>
      </c>
      <c r="H91" s="56"/>
      <c r="I91" s="6">
        <f t="shared" si="12"/>
        <v>0</v>
      </c>
      <c r="K91" s="30">
        <v>0.95494999999999997</v>
      </c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  <c r="AM91" s="30"/>
      <c r="AN91" s="30"/>
      <c r="AO91" s="30"/>
      <c r="AP91" s="30"/>
      <c r="AQ91" s="30"/>
      <c r="AR91" s="30"/>
      <c r="AS91" s="30"/>
      <c r="AT91" s="30"/>
      <c r="AU91" s="30"/>
      <c r="AV91" s="30"/>
      <c r="AW91" s="30"/>
      <c r="AX91" s="30"/>
      <c r="AY91" s="30"/>
      <c r="AZ91" s="30"/>
      <c r="BA91" s="30"/>
      <c r="BB91" s="30"/>
      <c r="BC91" s="30"/>
      <c r="BD91" s="30"/>
      <c r="BE91" s="30"/>
      <c r="BF91" s="30"/>
      <c r="BG91" s="30"/>
      <c r="BH91" s="30"/>
      <c r="BI91" s="30"/>
    </row>
    <row r="94" spans="1:61" ht="11.25" customHeight="1" x14ac:dyDescent="0.25">
      <c r="A94" s="24" t="s">
        <v>40</v>
      </c>
      <c r="B94" s="32"/>
      <c r="C94" s="26"/>
      <c r="D94" s="26"/>
      <c r="E94" s="27" t="str">
        <f>IF(OR(F94="=",F94="≈",F94="—"),"",IF(F94&gt;0,"",IF(F94&lt;0,"","")))</f>
        <v/>
      </c>
      <c r="F94" s="43" t="str">
        <f>IFERROR(IF(C94/D94-1=0,"=",IF(C94/D94-1=-1,"—",IF(OR(AND(C94/D94-1&lt;0.005,C94/D94-1&gt;0), AND(C94/D94-1&lt;0,C94/D94-1&gt;-0.005)),"≈",C94/D94-1))),"—")</f>
        <v>—</v>
      </c>
      <c r="G94" s="26">
        <v>0</v>
      </c>
      <c r="H94" s="55"/>
      <c r="I94" s="6">
        <f>SUM(AU94:BF94)</f>
        <v>0</v>
      </c>
      <c r="K94" s="26">
        <v>1.5572999999999999</v>
      </c>
      <c r="L94" s="26">
        <v>0</v>
      </c>
      <c r="M94" s="26">
        <v>1.8698999999999999</v>
      </c>
      <c r="N94" s="26">
        <v>0</v>
      </c>
      <c r="O94" s="26">
        <v>0.88700000000000001</v>
      </c>
      <c r="P94" s="26">
        <v>0.96799999999999997</v>
      </c>
      <c r="Q94" s="26">
        <v>0</v>
      </c>
      <c r="R94" s="26">
        <v>0</v>
      </c>
      <c r="S94" s="26">
        <v>0</v>
      </c>
      <c r="T94" s="26">
        <v>0</v>
      </c>
      <c r="U94" s="26">
        <v>0</v>
      </c>
      <c r="V94" s="26">
        <v>0</v>
      </c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6"/>
    </row>
    <row r="95" spans="1:61" ht="11.25" customHeight="1" x14ac:dyDescent="0.25">
      <c r="A95" s="29"/>
      <c r="B95" s="32" t="s">
        <v>34</v>
      </c>
      <c r="C95" s="30"/>
      <c r="D95" s="30"/>
      <c r="E95" s="27" t="str">
        <f>IF(OR(F95="=",F95="≈",F95="—"),"",IF(F95&gt;0,"",IF(F95&lt;0,"","")))</f>
        <v/>
      </c>
      <c r="F95" s="44" t="str">
        <f>IFERROR(IF(C95/D95-1=0,"=",IF(C95/D95-1=-1,"—",IF(OR(AND(C95/D95-1&lt;0.005,C95/D95-1&gt;0), AND(C95/D95-1&lt;0,C95/D95-1&gt;-0.005)),"≈",C95/D95-1))),"—")</f>
        <v>—</v>
      </c>
      <c r="G95" s="30">
        <v>0</v>
      </c>
      <c r="H95" s="55"/>
      <c r="I95" s="6">
        <f>SUM(AU95:BF95)</f>
        <v>0</v>
      </c>
      <c r="K95" s="30">
        <v>1.5572999999999999</v>
      </c>
      <c r="L95" s="30"/>
      <c r="M95" s="30">
        <v>1.8698999999999999</v>
      </c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30"/>
      <c r="AN95" s="30"/>
      <c r="AO95" s="30"/>
      <c r="AP95" s="30"/>
      <c r="AQ95" s="30"/>
      <c r="AR95" s="30"/>
      <c r="AS95" s="30"/>
      <c r="AT95" s="30"/>
      <c r="AU95" s="30"/>
      <c r="AV95" s="30"/>
      <c r="AW95" s="30"/>
      <c r="AX95" s="30"/>
      <c r="AY95" s="30"/>
      <c r="AZ95" s="30"/>
      <c r="BA95" s="30"/>
      <c r="BB95" s="30"/>
      <c r="BC95" s="30"/>
      <c r="BD95" s="30"/>
      <c r="BE95" s="30"/>
      <c r="BF95" s="30"/>
      <c r="BG95" s="30"/>
      <c r="BH95" s="30"/>
      <c r="BI95" s="30"/>
    </row>
    <row r="96" spans="1:61" ht="11.25" customHeight="1" x14ac:dyDescent="0.25">
      <c r="A96" s="24"/>
      <c r="B96" s="32" t="s">
        <v>35</v>
      </c>
      <c r="C96" s="30"/>
      <c r="D96" s="30"/>
      <c r="E96" s="27" t="str">
        <f>IF(OR(F96="=",F96="≈",F96="—"),"",IF(F96&gt;0,"",IF(F96&lt;0,"","")))</f>
        <v/>
      </c>
      <c r="F96" s="44" t="str">
        <f>IFERROR(IF(C96/D96-1=0,"=",IF(C96/D96-1=-1,"—",IF(OR(AND(C96/D96-1&lt;0.005,C96/D96-1&gt;0), AND(C96/D96-1&lt;0,C96/D96-1&gt;-0.005)),"≈",C96/D96-1))),"—")</f>
        <v>—</v>
      </c>
      <c r="G96" s="30">
        <v>0</v>
      </c>
      <c r="H96" s="55"/>
      <c r="I96" s="6">
        <f>SUM(AU96:BF96)</f>
        <v>0</v>
      </c>
      <c r="K96" s="30"/>
      <c r="L96" s="30"/>
      <c r="M96" s="30"/>
      <c r="N96" s="30"/>
      <c r="O96" s="30">
        <v>0.88700000000000001</v>
      </c>
      <c r="P96" s="30">
        <v>0.96799999999999997</v>
      </c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  <c r="AM96" s="30"/>
      <c r="AN96" s="30"/>
      <c r="AO96" s="30"/>
      <c r="AP96" s="30"/>
      <c r="AQ96" s="30"/>
      <c r="AR96" s="30"/>
      <c r="AS96" s="30"/>
      <c r="AT96" s="30"/>
      <c r="AU96" s="30"/>
      <c r="AV96" s="30"/>
      <c r="AW96" s="30"/>
      <c r="AX96" s="30"/>
      <c r="AY96" s="30"/>
      <c r="AZ96" s="30"/>
      <c r="BA96" s="30"/>
      <c r="BB96" s="30"/>
      <c r="BC96" s="30"/>
      <c r="BD96" s="30"/>
      <c r="BE96" s="30"/>
      <c r="BF96" s="30"/>
      <c r="BG96" s="30"/>
      <c r="BH96" s="30"/>
      <c r="BI96" s="30"/>
    </row>
    <row r="97" spans="1:61" ht="11.25" customHeight="1" x14ac:dyDescent="0.25">
      <c r="A97" s="34" t="s">
        <v>10</v>
      </c>
      <c r="B97" s="42"/>
      <c r="C97" s="36"/>
      <c r="D97" s="36"/>
      <c r="E97" s="41" t="str">
        <f>IF(OR(F97="=",F97="≈",F97="—"),"",IF(F97&gt;0,"",IF(F97&lt;0,"","")))</f>
        <v/>
      </c>
      <c r="F97" s="19" t="str">
        <f>IFERROR(IF(C97/D97-1=0,"=",IF(C97/D97-1=-1,"—",IF(OR(AND(C97/D97-1&lt;0.005,C97/D97-1&gt;0), AND(C97/D97-1&lt;0,C97/D97-1&gt;-0.005)),"≈",C97/D97-1))),"—")</f>
        <v>—</v>
      </c>
      <c r="G97" s="36">
        <v>0</v>
      </c>
      <c r="H97" s="56"/>
      <c r="I97" s="6">
        <f>SUM(AU97:BF97)</f>
        <v>0</v>
      </c>
      <c r="J97" s="7"/>
      <c r="K97" s="36">
        <v>0</v>
      </c>
      <c r="L97" s="36">
        <v>0</v>
      </c>
      <c r="M97" s="36">
        <v>0</v>
      </c>
      <c r="N97" s="36">
        <v>1.98634</v>
      </c>
      <c r="O97" s="36">
        <v>0</v>
      </c>
      <c r="P97" s="36">
        <v>0</v>
      </c>
      <c r="Q97" s="36">
        <v>0</v>
      </c>
      <c r="R97" s="36">
        <v>0</v>
      </c>
      <c r="S97" s="36">
        <v>0</v>
      </c>
      <c r="T97" s="36">
        <v>0</v>
      </c>
      <c r="U97" s="36">
        <v>0</v>
      </c>
      <c r="V97" s="36">
        <v>0</v>
      </c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</row>
    <row r="98" spans="1:61" ht="11.25" customHeight="1" x14ac:dyDescent="0.25">
      <c r="A98" s="39"/>
      <c r="B98" s="37" t="s">
        <v>35</v>
      </c>
      <c r="C98" s="38"/>
      <c r="D98" s="38"/>
      <c r="E98" s="41" t="str">
        <f>IF(OR(F98="=",F98="≈",F98="—"),"",IF(F98&gt;0,"",IF(F98&lt;0,"","")))</f>
        <v/>
      </c>
      <c r="F98" s="23" t="str">
        <f>IFERROR(IF(C98/D98-1=0,"=",IF(C98/D98-1=-1,"—",IF(OR(AND(C98/D98-1&lt;0.005,C98/D98-1&gt;0), AND(C98/D98-1&lt;0,C98/D98-1&gt;-0.005)),"≈",C98/D98-1))),"—")</f>
        <v>—</v>
      </c>
      <c r="G98" s="38">
        <v>0</v>
      </c>
      <c r="H98" s="56"/>
      <c r="I98" s="6">
        <f>SUM(AU98:BF98)</f>
        <v>0</v>
      </c>
      <c r="J98" s="7"/>
      <c r="K98" s="38"/>
      <c r="L98" s="38"/>
      <c r="M98" s="38"/>
      <c r="N98" s="38">
        <v>1.98634</v>
      </c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  <c r="AK98" s="38"/>
      <c r="AL98" s="38"/>
      <c r="AM98" s="38"/>
      <c r="AN98" s="38"/>
      <c r="AO98" s="38"/>
      <c r="AP98" s="38"/>
      <c r="AQ98" s="38"/>
      <c r="AR98" s="38"/>
      <c r="AS98" s="38"/>
      <c r="AT98" s="38"/>
      <c r="AU98" s="38"/>
      <c r="AV98" s="38"/>
      <c r="AW98" s="38"/>
      <c r="AX98" s="38"/>
      <c r="AY98" s="38"/>
      <c r="AZ98" s="38"/>
      <c r="BA98" s="38"/>
      <c r="BB98" s="38"/>
      <c r="BC98" s="38"/>
      <c r="BD98" s="38"/>
      <c r="BE98" s="38"/>
      <c r="BF98" s="38"/>
      <c r="BG98" s="38"/>
      <c r="BH98" s="38"/>
      <c r="BI98" s="38"/>
    </row>
  </sheetData>
  <sortState ref="A53:R54">
    <sortCondition descending="1" ref="G58:G59"/>
  </sortState>
  <mergeCells count="1">
    <mergeCell ref="E1:F1"/>
  </mergeCells>
  <conditionalFormatting sqref="E7 E71 E42:E43 E78">
    <cfRule type="containsText" dxfId="173" priority="141" operator="containsText" text="">
      <formula>NOT(ISERROR(SEARCH("",E7)))</formula>
    </cfRule>
    <cfRule type="containsText" dxfId="172" priority="142" operator="containsText" text="">
      <formula>NOT(ISERROR(SEARCH("",E7)))</formula>
    </cfRule>
  </conditionalFormatting>
  <conditionalFormatting sqref="E52">
    <cfRule type="containsText" dxfId="171" priority="139" operator="containsText" text="">
      <formula>NOT(ISERROR(SEARCH("",E52)))</formula>
    </cfRule>
    <cfRule type="containsText" dxfId="170" priority="140" operator="containsText" text="">
      <formula>NOT(ISERROR(SEARCH("",E52)))</formula>
    </cfRule>
  </conditionalFormatting>
  <conditionalFormatting sqref="E53">
    <cfRule type="containsText" dxfId="169" priority="137" operator="containsText" text="">
      <formula>NOT(ISERROR(SEARCH("",E53)))</formula>
    </cfRule>
    <cfRule type="containsText" dxfId="168" priority="138" operator="containsText" text="">
      <formula>NOT(ISERROR(SEARCH("",E53)))</formula>
    </cfRule>
  </conditionalFormatting>
  <conditionalFormatting sqref="E48">
    <cfRule type="containsText" dxfId="167" priority="135" operator="containsText" text="">
      <formula>NOT(ISERROR(SEARCH("",E48)))</formula>
    </cfRule>
    <cfRule type="containsText" dxfId="166" priority="136" operator="containsText" text="">
      <formula>NOT(ISERROR(SEARCH("",E48)))</formula>
    </cfRule>
  </conditionalFormatting>
  <conditionalFormatting sqref="E49">
    <cfRule type="containsText" dxfId="165" priority="133" operator="containsText" text="">
      <formula>NOT(ISERROR(SEARCH("",E49)))</formula>
    </cfRule>
    <cfRule type="containsText" dxfId="164" priority="134" operator="containsText" text="">
      <formula>NOT(ISERROR(SEARCH("",E49)))</formula>
    </cfRule>
  </conditionalFormatting>
  <conditionalFormatting sqref="E36:E38">
    <cfRule type="containsText" dxfId="163" priority="123" operator="containsText" text="">
      <formula>NOT(ISERROR(SEARCH("",E36)))</formula>
    </cfRule>
    <cfRule type="containsText" dxfId="162" priority="124" operator="containsText" text="">
      <formula>NOT(ISERROR(SEARCH("",E36)))</formula>
    </cfRule>
  </conditionalFormatting>
  <conditionalFormatting sqref="E50">
    <cfRule type="containsText" dxfId="161" priority="129" operator="containsText" text="">
      <formula>NOT(ISERROR(SEARCH("",E50)))</formula>
    </cfRule>
    <cfRule type="containsText" dxfId="160" priority="130" operator="containsText" text="">
      <formula>NOT(ISERROR(SEARCH("",E50)))</formula>
    </cfRule>
  </conditionalFormatting>
  <conditionalFormatting sqref="E51">
    <cfRule type="containsText" dxfId="159" priority="127" operator="containsText" text="">
      <formula>NOT(ISERROR(SEARCH("",E51)))</formula>
    </cfRule>
    <cfRule type="containsText" dxfId="158" priority="128" operator="containsText" text="">
      <formula>NOT(ISERROR(SEARCH("",E51)))</formula>
    </cfRule>
  </conditionalFormatting>
  <conditionalFormatting sqref="E44:E46">
    <cfRule type="containsText" dxfId="157" priority="125" operator="containsText" text="">
      <formula>NOT(ISERROR(SEARCH("",E44)))</formula>
    </cfRule>
    <cfRule type="containsText" dxfId="156" priority="126" operator="containsText" text="">
      <formula>NOT(ISERROR(SEARCH("",E44)))</formula>
    </cfRule>
  </conditionalFormatting>
  <conditionalFormatting sqref="E40">
    <cfRule type="containsText" dxfId="155" priority="121" operator="containsText" text="">
      <formula>NOT(ISERROR(SEARCH("",E40)))</formula>
    </cfRule>
    <cfRule type="containsText" dxfId="154" priority="122" operator="containsText" text="">
      <formula>NOT(ISERROR(SEARCH("",E40)))</formula>
    </cfRule>
  </conditionalFormatting>
  <conditionalFormatting sqref="E55">
    <cfRule type="containsText" dxfId="153" priority="119" operator="containsText" text="">
      <formula>NOT(ISERROR(SEARCH("",E55)))</formula>
    </cfRule>
    <cfRule type="containsText" dxfId="152" priority="120" operator="containsText" text="">
      <formula>NOT(ISERROR(SEARCH("",E55)))</formula>
    </cfRule>
  </conditionalFormatting>
  <conditionalFormatting sqref="E70">
    <cfRule type="containsText" dxfId="151" priority="117" operator="containsText" text="">
      <formula>NOT(ISERROR(SEARCH("",E70)))</formula>
    </cfRule>
    <cfRule type="containsText" dxfId="150" priority="118" operator="containsText" text="">
      <formula>NOT(ISERROR(SEARCH("",E70)))</formula>
    </cfRule>
  </conditionalFormatting>
  <conditionalFormatting sqref="E8">
    <cfRule type="containsText" dxfId="149" priority="115" operator="containsText" text="">
      <formula>NOT(ISERROR(SEARCH("",E8)))</formula>
    </cfRule>
    <cfRule type="containsText" dxfId="148" priority="116" operator="containsText" text="">
      <formula>NOT(ISERROR(SEARCH("",E8)))</formula>
    </cfRule>
  </conditionalFormatting>
  <conditionalFormatting sqref="E22">
    <cfRule type="containsText" dxfId="147" priority="113" operator="containsText" text="">
      <formula>NOT(ISERROR(SEARCH("",E22)))</formula>
    </cfRule>
    <cfRule type="containsText" dxfId="146" priority="114" operator="containsText" text="">
      <formula>NOT(ISERROR(SEARCH("",E22)))</formula>
    </cfRule>
  </conditionalFormatting>
  <conditionalFormatting sqref="E23">
    <cfRule type="containsText" dxfId="145" priority="111" operator="containsText" text="">
      <formula>NOT(ISERROR(SEARCH("",E23)))</formula>
    </cfRule>
    <cfRule type="containsText" dxfId="144" priority="112" operator="containsText" text="">
      <formula>NOT(ISERROR(SEARCH("",E23)))</formula>
    </cfRule>
  </conditionalFormatting>
  <conditionalFormatting sqref="E24">
    <cfRule type="containsText" dxfId="143" priority="109" operator="containsText" text="">
      <formula>NOT(ISERROR(SEARCH("",E24)))</formula>
    </cfRule>
    <cfRule type="containsText" dxfId="142" priority="110" operator="containsText" text="">
      <formula>NOT(ISERROR(SEARCH("",E24)))</formula>
    </cfRule>
  </conditionalFormatting>
  <conditionalFormatting sqref="E25">
    <cfRule type="containsText" dxfId="141" priority="99" operator="containsText" text="">
      <formula>NOT(ISERROR(SEARCH("",E25)))</formula>
    </cfRule>
    <cfRule type="containsText" dxfId="140" priority="100" operator="containsText" text="">
      <formula>NOT(ISERROR(SEARCH("",E25)))</formula>
    </cfRule>
  </conditionalFormatting>
  <conditionalFormatting sqref="E28">
    <cfRule type="containsText" dxfId="139" priority="97" operator="containsText" text="">
      <formula>NOT(ISERROR(SEARCH("",E28)))</formula>
    </cfRule>
    <cfRule type="containsText" dxfId="138" priority="98" operator="containsText" text="">
      <formula>NOT(ISERROR(SEARCH("",E28)))</formula>
    </cfRule>
  </conditionalFormatting>
  <conditionalFormatting sqref="E29">
    <cfRule type="containsText" dxfId="137" priority="95" operator="containsText" text="">
      <formula>NOT(ISERROR(SEARCH("",E29)))</formula>
    </cfRule>
    <cfRule type="containsText" dxfId="136" priority="96" operator="containsText" text="">
      <formula>NOT(ISERROR(SEARCH("",E29)))</formula>
    </cfRule>
  </conditionalFormatting>
  <conditionalFormatting sqref="E30">
    <cfRule type="containsText" dxfId="135" priority="93" operator="containsText" text="">
      <formula>NOT(ISERROR(SEARCH("",E30)))</formula>
    </cfRule>
    <cfRule type="containsText" dxfId="134" priority="94" operator="containsText" text="">
      <formula>NOT(ISERROR(SEARCH("",E30)))</formula>
    </cfRule>
  </conditionalFormatting>
  <conditionalFormatting sqref="E31 E33">
    <cfRule type="containsText" dxfId="133" priority="91" operator="containsText" text="">
      <formula>NOT(ISERROR(SEARCH("",E31)))</formula>
    </cfRule>
    <cfRule type="containsText" dxfId="132" priority="92" operator="containsText" text="">
      <formula>NOT(ISERROR(SEARCH("",E31)))</formula>
    </cfRule>
  </conditionalFormatting>
  <conditionalFormatting sqref="E34">
    <cfRule type="containsText" dxfId="131" priority="89" operator="containsText" text="">
      <formula>NOT(ISERROR(SEARCH("",E34)))</formula>
    </cfRule>
    <cfRule type="containsText" dxfId="130" priority="90" operator="containsText" text="">
      <formula>NOT(ISERROR(SEARCH("",E34)))</formula>
    </cfRule>
  </conditionalFormatting>
  <conditionalFormatting sqref="E35">
    <cfRule type="containsText" dxfId="129" priority="87" operator="containsText" text="">
      <formula>NOT(ISERROR(SEARCH("",E35)))</formula>
    </cfRule>
    <cfRule type="containsText" dxfId="128" priority="88" operator="containsText" text="">
      <formula>NOT(ISERROR(SEARCH("",E35)))</formula>
    </cfRule>
  </conditionalFormatting>
  <conditionalFormatting sqref="E97">
    <cfRule type="containsText" dxfId="127" priority="85" operator="containsText" text="">
      <formula>NOT(ISERROR(SEARCH("",E97)))</formula>
    </cfRule>
    <cfRule type="containsText" dxfId="126" priority="86" operator="containsText" text="">
      <formula>NOT(ISERROR(SEARCH("",E97)))</formula>
    </cfRule>
  </conditionalFormatting>
  <conditionalFormatting sqref="E98">
    <cfRule type="containsText" dxfId="125" priority="83" operator="containsText" text="">
      <formula>NOT(ISERROR(SEARCH("",E98)))</formula>
    </cfRule>
    <cfRule type="containsText" dxfId="124" priority="84" operator="containsText" text="">
      <formula>NOT(ISERROR(SEARCH("",E98)))</formula>
    </cfRule>
  </conditionalFormatting>
  <conditionalFormatting sqref="E54">
    <cfRule type="containsText" dxfId="123" priority="81" operator="containsText" text="">
      <formula>NOT(ISERROR(SEARCH("",E54)))</formula>
    </cfRule>
    <cfRule type="containsText" dxfId="122" priority="82" operator="containsText" text="">
      <formula>NOT(ISERROR(SEARCH("",E54)))</formula>
    </cfRule>
  </conditionalFormatting>
  <conditionalFormatting sqref="E17:E19">
    <cfRule type="containsText" dxfId="121" priority="79" operator="containsText" text="">
      <formula>NOT(ISERROR(SEARCH("",E17)))</formula>
    </cfRule>
    <cfRule type="containsText" dxfId="120" priority="80" operator="containsText" text="">
      <formula>NOT(ISERROR(SEARCH("",E17)))</formula>
    </cfRule>
  </conditionalFormatting>
  <conditionalFormatting sqref="E20">
    <cfRule type="containsText" dxfId="119" priority="77" operator="containsText" text="">
      <formula>NOT(ISERROR(SEARCH("",E20)))</formula>
    </cfRule>
    <cfRule type="containsText" dxfId="118" priority="78" operator="containsText" text="">
      <formula>NOT(ISERROR(SEARCH("",E20)))</formula>
    </cfRule>
  </conditionalFormatting>
  <conditionalFormatting sqref="E9">
    <cfRule type="containsText" dxfId="117" priority="75" operator="containsText" text="">
      <formula>NOT(ISERROR(SEARCH("",E9)))</formula>
    </cfRule>
    <cfRule type="containsText" dxfId="116" priority="76" operator="containsText" text="">
      <formula>NOT(ISERROR(SEARCH("",E9)))</formula>
    </cfRule>
  </conditionalFormatting>
  <conditionalFormatting sqref="E10">
    <cfRule type="containsText" dxfId="115" priority="73" operator="containsText" text="">
      <formula>NOT(ISERROR(SEARCH("",E10)))</formula>
    </cfRule>
    <cfRule type="containsText" dxfId="114" priority="74" operator="containsText" text="">
      <formula>NOT(ISERROR(SEARCH("",E10)))</formula>
    </cfRule>
  </conditionalFormatting>
  <conditionalFormatting sqref="E12">
    <cfRule type="containsText" dxfId="113" priority="71" operator="containsText" text="">
      <formula>NOT(ISERROR(SEARCH("",E12)))</formula>
    </cfRule>
    <cfRule type="containsText" dxfId="112" priority="72" operator="containsText" text="">
      <formula>NOT(ISERROR(SEARCH("",E12)))</formula>
    </cfRule>
  </conditionalFormatting>
  <conditionalFormatting sqref="E14">
    <cfRule type="containsText" dxfId="111" priority="69" operator="containsText" text="">
      <formula>NOT(ISERROR(SEARCH("",E14)))</formula>
    </cfRule>
    <cfRule type="containsText" dxfId="110" priority="70" operator="containsText" text="">
      <formula>NOT(ISERROR(SEARCH("",E14)))</formula>
    </cfRule>
  </conditionalFormatting>
  <conditionalFormatting sqref="E15">
    <cfRule type="containsText" dxfId="109" priority="67" operator="containsText" text="">
      <formula>NOT(ISERROR(SEARCH("",E15)))</formula>
    </cfRule>
    <cfRule type="containsText" dxfId="108" priority="68" operator="containsText" text="">
      <formula>NOT(ISERROR(SEARCH("",E15)))</formula>
    </cfRule>
  </conditionalFormatting>
  <conditionalFormatting sqref="E16">
    <cfRule type="containsText" dxfId="107" priority="65" operator="containsText" text="">
      <formula>NOT(ISERROR(SEARCH("",E16)))</formula>
    </cfRule>
    <cfRule type="containsText" dxfId="106" priority="66" operator="containsText" text="">
      <formula>NOT(ISERROR(SEARCH("",E16)))</formula>
    </cfRule>
  </conditionalFormatting>
  <conditionalFormatting sqref="E94:E95">
    <cfRule type="containsText" dxfId="105" priority="63" operator="containsText" text="">
      <formula>NOT(ISERROR(SEARCH("",E94)))</formula>
    </cfRule>
    <cfRule type="containsText" dxfId="104" priority="64" operator="containsText" text="">
      <formula>NOT(ISERROR(SEARCH("",E94)))</formula>
    </cfRule>
  </conditionalFormatting>
  <conditionalFormatting sqref="E41">
    <cfRule type="containsText" dxfId="103" priority="61" operator="containsText" text="">
      <formula>NOT(ISERROR(SEARCH("",E41)))</formula>
    </cfRule>
    <cfRule type="containsText" dxfId="102" priority="62" operator="containsText" text="">
      <formula>NOT(ISERROR(SEARCH("",E41)))</formula>
    </cfRule>
  </conditionalFormatting>
  <conditionalFormatting sqref="E6">
    <cfRule type="containsText" dxfId="101" priority="57" operator="containsText" text="">
      <formula>NOT(ISERROR(SEARCH("",E6)))</formula>
    </cfRule>
    <cfRule type="containsText" dxfId="100" priority="58" operator="containsText" text="">
      <formula>NOT(ISERROR(SEARCH("",E6)))</formula>
    </cfRule>
  </conditionalFormatting>
  <conditionalFormatting sqref="E68">
    <cfRule type="containsText" dxfId="99" priority="55" operator="containsText" text="">
      <formula>NOT(ISERROR(SEARCH("",E68)))</formula>
    </cfRule>
    <cfRule type="containsText" dxfId="98" priority="56" operator="containsText" text="">
      <formula>NOT(ISERROR(SEARCH("",E68)))</formula>
    </cfRule>
  </conditionalFormatting>
  <conditionalFormatting sqref="E69">
    <cfRule type="containsText" dxfId="97" priority="53" operator="containsText" text="">
      <formula>NOT(ISERROR(SEARCH("",E69)))</formula>
    </cfRule>
    <cfRule type="containsText" dxfId="96" priority="54" operator="containsText" text="">
      <formula>NOT(ISERROR(SEARCH("",E69)))</formula>
    </cfRule>
  </conditionalFormatting>
  <conditionalFormatting sqref="E21">
    <cfRule type="containsText" dxfId="95" priority="51" operator="containsText" text="">
      <formula>NOT(ISERROR(SEARCH("",E21)))</formula>
    </cfRule>
    <cfRule type="containsText" dxfId="94" priority="52" operator="containsText" text="">
      <formula>NOT(ISERROR(SEARCH("",E21)))</formula>
    </cfRule>
  </conditionalFormatting>
  <conditionalFormatting sqref="E47">
    <cfRule type="containsText" dxfId="93" priority="49" operator="containsText" text="">
      <formula>NOT(ISERROR(SEARCH("",E47)))</formula>
    </cfRule>
    <cfRule type="containsText" dxfId="92" priority="50" operator="containsText" text="">
      <formula>NOT(ISERROR(SEARCH("",E47)))</formula>
    </cfRule>
  </conditionalFormatting>
  <conditionalFormatting sqref="E96">
    <cfRule type="containsText" dxfId="91" priority="47" operator="containsText" text="">
      <formula>NOT(ISERROR(SEARCH("",E96)))</formula>
    </cfRule>
    <cfRule type="containsText" dxfId="90" priority="48" operator="containsText" text="">
      <formula>NOT(ISERROR(SEARCH("",E96)))</formula>
    </cfRule>
  </conditionalFormatting>
  <conditionalFormatting sqref="E75">
    <cfRule type="containsText" dxfId="89" priority="45" operator="containsText" text="">
      <formula>NOT(ISERROR(SEARCH("",E75)))</formula>
    </cfRule>
    <cfRule type="containsText" dxfId="88" priority="46" operator="containsText" text="">
      <formula>NOT(ISERROR(SEARCH("",E75)))</formula>
    </cfRule>
  </conditionalFormatting>
  <conditionalFormatting sqref="E3">
    <cfRule type="containsText" dxfId="87" priority="43" operator="containsText" text="">
      <formula>NOT(ISERROR(SEARCH("",E3)))</formula>
    </cfRule>
    <cfRule type="containsText" dxfId="86" priority="44" operator="containsText" text="">
      <formula>NOT(ISERROR(SEARCH("",E3)))</formula>
    </cfRule>
  </conditionalFormatting>
  <conditionalFormatting sqref="E4">
    <cfRule type="containsText" dxfId="85" priority="33" operator="containsText" text="">
      <formula>NOT(ISERROR(SEARCH("",E4)))</formula>
    </cfRule>
    <cfRule type="containsText" dxfId="84" priority="34" operator="containsText" text="">
      <formula>NOT(ISERROR(SEARCH("",E4)))</formula>
    </cfRule>
  </conditionalFormatting>
  <conditionalFormatting sqref="E32">
    <cfRule type="containsText" dxfId="83" priority="39" operator="containsText" text="">
      <formula>NOT(ISERROR(SEARCH("",E32)))</formula>
    </cfRule>
    <cfRule type="containsText" dxfId="82" priority="40" operator="containsText" text="">
      <formula>NOT(ISERROR(SEARCH("",E32)))</formula>
    </cfRule>
  </conditionalFormatting>
  <conditionalFormatting sqref="E76">
    <cfRule type="containsText" dxfId="81" priority="37" operator="containsText" text="">
      <formula>NOT(ISERROR(SEARCH("",E76)))</formula>
    </cfRule>
    <cfRule type="containsText" dxfId="80" priority="38" operator="containsText" text="">
      <formula>NOT(ISERROR(SEARCH("",E76)))</formula>
    </cfRule>
  </conditionalFormatting>
  <conditionalFormatting sqref="E77">
    <cfRule type="containsText" dxfId="79" priority="35" operator="containsText" text="">
      <formula>NOT(ISERROR(SEARCH("",E77)))</formula>
    </cfRule>
    <cfRule type="containsText" dxfId="78" priority="36" operator="containsText" text="">
      <formula>NOT(ISERROR(SEARCH("",E77)))</formula>
    </cfRule>
  </conditionalFormatting>
  <conditionalFormatting sqref="E11">
    <cfRule type="containsText" dxfId="77" priority="31" operator="containsText" text="">
      <formula>NOT(ISERROR(SEARCH("",E11)))</formula>
    </cfRule>
    <cfRule type="containsText" dxfId="76" priority="32" operator="containsText" text="">
      <formula>NOT(ISERROR(SEARCH("",E11)))</formula>
    </cfRule>
  </conditionalFormatting>
  <conditionalFormatting sqref="E39">
    <cfRule type="containsText" dxfId="75" priority="21" operator="containsText" text="">
      <formula>NOT(ISERROR(SEARCH("",E39)))</formula>
    </cfRule>
    <cfRule type="containsText" dxfId="74" priority="22" operator="containsText" text="">
      <formula>NOT(ISERROR(SEARCH("",E39)))</formula>
    </cfRule>
  </conditionalFormatting>
  <conditionalFormatting sqref="E13">
    <cfRule type="containsText" dxfId="73" priority="27" operator="containsText" text="">
      <formula>NOT(ISERROR(SEARCH("",E13)))</formula>
    </cfRule>
    <cfRule type="containsText" dxfId="72" priority="28" operator="containsText" text="">
      <formula>NOT(ISERROR(SEARCH("",E13)))</formula>
    </cfRule>
  </conditionalFormatting>
  <conditionalFormatting sqref="E84">
    <cfRule type="containsText" dxfId="71" priority="17" operator="containsText" text="">
      <formula>NOT(ISERROR(SEARCH("",E84)))</formula>
    </cfRule>
    <cfRule type="containsText" dxfId="70" priority="18" operator="containsText" text="">
      <formula>NOT(ISERROR(SEARCH("",E84)))</formula>
    </cfRule>
  </conditionalFormatting>
  <conditionalFormatting sqref="E5">
    <cfRule type="containsText" dxfId="69" priority="23" operator="containsText" text="">
      <formula>NOT(ISERROR(SEARCH("",E5)))</formula>
    </cfRule>
    <cfRule type="containsText" dxfId="68" priority="24" operator="containsText" text="">
      <formula>NOT(ISERROR(SEARCH("",E5)))</formula>
    </cfRule>
  </conditionalFormatting>
  <conditionalFormatting sqref="E81">
    <cfRule type="containsText" dxfId="67" priority="19" operator="containsText" text="">
      <formula>NOT(ISERROR(SEARCH("",E81)))</formula>
    </cfRule>
    <cfRule type="containsText" dxfId="66" priority="20" operator="containsText" text="">
      <formula>NOT(ISERROR(SEARCH("",E81)))</formula>
    </cfRule>
  </conditionalFormatting>
  <conditionalFormatting sqref="E82">
    <cfRule type="containsText" dxfId="65" priority="15" operator="containsText" text="">
      <formula>NOT(ISERROR(SEARCH("",E82)))</formula>
    </cfRule>
    <cfRule type="containsText" dxfId="64" priority="16" operator="containsText" text="">
      <formula>NOT(ISERROR(SEARCH("",E82)))</formula>
    </cfRule>
  </conditionalFormatting>
  <conditionalFormatting sqref="E83">
    <cfRule type="containsText" dxfId="63" priority="13" operator="containsText" text="">
      <formula>NOT(ISERROR(SEARCH("",E83)))</formula>
    </cfRule>
    <cfRule type="containsText" dxfId="62" priority="14" operator="containsText" text="">
      <formula>NOT(ISERROR(SEARCH("",E83)))</formula>
    </cfRule>
  </conditionalFormatting>
  <conditionalFormatting sqref="E88">
    <cfRule type="containsText" dxfId="61" priority="11" operator="containsText" text="">
      <formula>NOT(ISERROR(SEARCH("",E88)))</formula>
    </cfRule>
    <cfRule type="containsText" dxfId="60" priority="12" operator="containsText" text="">
      <formula>NOT(ISERROR(SEARCH("",E88)))</formula>
    </cfRule>
  </conditionalFormatting>
  <conditionalFormatting sqref="E89">
    <cfRule type="containsText" dxfId="59" priority="9" operator="containsText" text="">
      <formula>NOT(ISERROR(SEARCH("",E89)))</formula>
    </cfRule>
    <cfRule type="containsText" dxfId="58" priority="10" operator="containsText" text="">
      <formula>NOT(ISERROR(SEARCH("",E89)))</formula>
    </cfRule>
  </conditionalFormatting>
  <conditionalFormatting sqref="E90">
    <cfRule type="containsText" dxfId="57" priority="7" operator="containsText" text="">
      <formula>NOT(ISERROR(SEARCH("",E90)))</formula>
    </cfRule>
    <cfRule type="containsText" dxfId="56" priority="8" operator="containsText" text="">
      <formula>NOT(ISERROR(SEARCH("",E90)))</formula>
    </cfRule>
  </conditionalFormatting>
  <conditionalFormatting sqref="E91">
    <cfRule type="containsText" dxfId="55" priority="5" operator="containsText" text="">
      <formula>NOT(ISERROR(SEARCH("",E91)))</formula>
    </cfRule>
    <cfRule type="containsText" dxfId="54" priority="6" operator="containsText" text="">
      <formula>NOT(ISERROR(SEARCH("",E91)))</formula>
    </cfRule>
  </conditionalFormatting>
  <conditionalFormatting sqref="E26">
    <cfRule type="containsText" dxfId="53" priority="3" operator="containsText" text="">
      <formula>NOT(ISERROR(SEARCH("",E26)))</formula>
    </cfRule>
    <cfRule type="containsText" dxfId="52" priority="4" operator="containsText" text="">
      <formula>NOT(ISERROR(SEARCH("",E26)))</formula>
    </cfRule>
  </conditionalFormatting>
  <conditionalFormatting sqref="E27">
    <cfRule type="containsText" dxfId="51" priority="1" operator="containsText" text="">
      <formula>NOT(ISERROR(SEARCH("",E27)))</formula>
    </cfRule>
    <cfRule type="containsText" dxfId="50" priority="2" operator="containsText" text="">
      <formula>NOT(ISERROR(SEARCH("",E27)))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35"/>
  <sheetViews>
    <sheetView zoomScale="85" zoomScaleNormal="85" workbookViewId="0">
      <selection activeCell="E13" sqref="E13"/>
    </sheetView>
  </sheetViews>
  <sheetFormatPr defaultRowHeight="15" x14ac:dyDescent="0.25"/>
  <cols>
    <col min="1" max="1" width="20" customWidth="1"/>
    <col min="2" max="2" width="19.85546875" customWidth="1"/>
    <col min="3" max="4" width="14.5703125" customWidth="1"/>
    <col min="6" max="6" width="9.5703125" customWidth="1"/>
    <col min="7" max="7" width="11.85546875" customWidth="1"/>
    <col min="31" max="31" width="14.5703125" customWidth="1"/>
    <col min="33" max="37" width="14.5703125" customWidth="1"/>
    <col min="39" max="41" width="14.5703125" customWidth="1"/>
    <col min="43" max="52" width="14.5703125" customWidth="1"/>
    <col min="54" max="61" width="14.5703125" customWidth="1"/>
  </cols>
  <sheetData>
    <row r="1" spans="1:61" x14ac:dyDescent="0.25">
      <c r="A1" s="1" t="s">
        <v>0</v>
      </c>
      <c r="B1" s="1" t="s">
        <v>1</v>
      </c>
      <c r="C1" s="3" t="s">
        <v>106</v>
      </c>
      <c r="D1" s="3" t="s">
        <v>105</v>
      </c>
      <c r="E1" s="60" t="s">
        <v>3</v>
      </c>
      <c r="F1" s="60"/>
      <c r="G1" s="3" t="s">
        <v>107</v>
      </c>
      <c r="K1" s="3" t="s">
        <v>21</v>
      </c>
      <c r="L1" s="3" t="s">
        <v>22</v>
      </c>
      <c r="M1" s="3" t="s">
        <v>2</v>
      </c>
      <c r="N1" s="3" t="s">
        <v>23</v>
      </c>
      <c r="O1" s="3" t="s">
        <v>24</v>
      </c>
      <c r="P1" s="3" t="s">
        <v>25</v>
      </c>
      <c r="Q1" s="3" t="s">
        <v>26</v>
      </c>
      <c r="R1" s="3" t="s">
        <v>27</v>
      </c>
      <c r="S1" s="3" t="s">
        <v>49</v>
      </c>
      <c r="T1" s="3" t="s">
        <v>50</v>
      </c>
      <c r="U1" s="3" t="s">
        <v>51</v>
      </c>
      <c r="V1" s="3" t="s">
        <v>52</v>
      </c>
      <c r="W1" s="3" t="s">
        <v>54</v>
      </c>
      <c r="X1" s="3" t="s">
        <v>59</v>
      </c>
      <c r="Y1" s="3" t="s">
        <v>61</v>
      </c>
      <c r="Z1" s="3" t="s">
        <v>62</v>
      </c>
      <c r="AA1" s="3" t="s">
        <v>63</v>
      </c>
      <c r="AB1" s="3" t="s">
        <v>64</v>
      </c>
      <c r="AC1" s="3" t="s">
        <v>65</v>
      </c>
      <c r="AD1" s="3" t="s">
        <v>66</v>
      </c>
      <c r="AE1" s="3" t="s">
        <v>67</v>
      </c>
      <c r="AF1" s="3" t="s">
        <v>69</v>
      </c>
      <c r="AG1" s="3" t="s">
        <v>70</v>
      </c>
      <c r="AH1" s="3" t="s">
        <v>71</v>
      </c>
      <c r="AI1" s="3" t="s">
        <v>72</v>
      </c>
      <c r="AJ1" s="3" t="s">
        <v>74</v>
      </c>
      <c r="AK1" s="3" t="s">
        <v>75</v>
      </c>
      <c r="AL1" s="3" t="s">
        <v>76</v>
      </c>
      <c r="AM1" s="3" t="s">
        <v>77</v>
      </c>
      <c r="AN1" s="3" t="s">
        <v>78</v>
      </c>
      <c r="AO1" s="3" t="s">
        <v>79</v>
      </c>
      <c r="AP1" s="3" t="s">
        <v>80</v>
      </c>
      <c r="AQ1" s="3" t="s">
        <v>81</v>
      </c>
      <c r="AR1" s="3" t="s">
        <v>82</v>
      </c>
      <c r="AS1" s="3" t="s">
        <v>83</v>
      </c>
      <c r="AT1" s="3" t="s">
        <v>84</v>
      </c>
      <c r="AU1" s="3" t="s">
        <v>85</v>
      </c>
      <c r="AV1" s="3" t="s">
        <v>86</v>
      </c>
      <c r="AW1" s="3" t="s">
        <v>90</v>
      </c>
      <c r="AX1" s="3" t="s">
        <v>92</v>
      </c>
      <c r="AY1" s="3" t="s">
        <v>95</v>
      </c>
      <c r="AZ1" s="3" t="s">
        <v>96</v>
      </c>
      <c r="BA1" s="3" t="s">
        <v>97</v>
      </c>
      <c r="BB1" s="3" t="s">
        <v>98</v>
      </c>
      <c r="BC1" s="3" t="s">
        <v>99</v>
      </c>
      <c r="BD1" s="3" t="s">
        <v>100</v>
      </c>
      <c r="BE1" s="3" t="s">
        <v>101</v>
      </c>
      <c r="BF1" s="3" t="s">
        <v>102</v>
      </c>
      <c r="BG1" s="3" t="s">
        <v>103</v>
      </c>
      <c r="BH1" s="3" t="s">
        <v>105</v>
      </c>
      <c r="BI1" s="3" t="s">
        <v>106</v>
      </c>
    </row>
    <row r="2" spans="1:61" x14ac:dyDescent="0.25">
      <c r="A2" s="40" t="s">
        <v>4</v>
      </c>
      <c r="B2" s="40"/>
      <c r="C2" s="4"/>
      <c r="D2" s="4"/>
      <c r="E2" s="4"/>
      <c r="F2" s="4"/>
      <c r="G2" s="4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</row>
    <row r="3" spans="1:61" ht="15.75" thickBot="1" x14ac:dyDescent="0.3">
      <c r="A3" s="34" t="s">
        <v>7</v>
      </c>
      <c r="B3" s="35"/>
      <c r="C3" s="36"/>
      <c r="D3" s="36"/>
      <c r="E3" s="18" t="str">
        <f>IF(OR(F3="=",F3="≈",F3="—"),"",IF(F3&gt;0,"",IF(F3&lt;0,"","")))</f>
        <v/>
      </c>
      <c r="F3" s="19" t="str">
        <f t="shared" ref="F3:F33" si="0">IFERROR(IF(C3/D3-1=0,"=",IF(C3/D3-1=-1,"—",IF(OR(AND(C3/D3-1&lt;0.005,C3/D3-1&gt;0), AND(C3/D3-1&lt;0,C3/D3-1&gt;-0.005)),"≈",C3/D3-1))),"—")</f>
        <v>—</v>
      </c>
      <c r="G3" s="36">
        <v>0</v>
      </c>
      <c r="H3" s="6"/>
      <c r="I3" s="6">
        <f>SUM(BG3:BR3)</f>
        <v>0</v>
      </c>
      <c r="J3" s="7"/>
      <c r="K3" s="11">
        <v>0</v>
      </c>
      <c r="L3" s="11">
        <v>0</v>
      </c>
      <c r="M3" s="11">
        <v>2</v>
      </c>
      <c r="N3" s="11">
        <v>1.8E-5</v>
      </c>
      <c r="O3" s="11">
        <v>10</v>
      </c>
      <c r="P3" s="11">
        <v>20.3</v>
      </c>
      <c r="Q3" s="11">
        <v>1.7500000000000002E-2</v>
      </c>
      <c r="R3" s="11">
        <v>29.334317000000002</v>
      </c>
      <c r="S3" s="11">
        <v>17.8688</v>
      </c>
      <c r="T3" s="11">
        <v>8.39</v>
      </c>
      <c r="U3" s="11">
        <v>1.7649999999999999</v>
      </c>
      <c r="V3" s="11">
        <v>10.461500000000001</v>
      </c>
      <c r="W3" s="11"/>
      <c r="X3" s="11">
        <v>1.4999999999999999E-2</v>
      </c>
      <c r="Y3" s="11">
        <v>9.3030000000000008</v>
      </c>
      <c r="Z3" s="36">
        <v>9.6630000000000003</v>
      </c>
      <c r="AA3" s="36">
        <v>13.21</v>
      </c>
      <c r="AB3" s="36">
        <v>19.408000000000001</v>
      </c>
      <c r="AC3" s="36"/>
      <c r="AD3" s="36">
        <v>5.0175000000000001</v>
      </c>
      <c r="AE3" s="36">
        <v>14.624000000000001</v>
      </c>
      <c r="AF3" s="36">
        <v>9.6</v>
      </c>
      <c r="AG3" s="36"/>
      <c r="AH3" s="36"/>
      <c r="AI3" s="36"/>
      <c r="AJ3" s="36">
        <v>1.7999999999999999E-2</v>
      </c>
      <c r="AK3" s="36"/>
      <c r="AL3" s="36">
        <v>1.7999999999999999E-2</v>
      </c>
      <c r="AM3" s="36"/>
      <c r="AN3" s="36">
        <v>1.7</v>
      </c>
      <c r="AO3" s="36">
        <v>2.1520000000000001</v>
      </c>
      <c r="AP3" s="36">
        <v>0.02</v>
      </c>
      <c r="AQ3" s="36">
        <v>1.79</v>
      </c>
      <c r="AR3" s="36">
        <v>1.55</v>
      </c>
      <c r="AS3" s="36">
        <v>2.0379999999999998</v>
      </c>
      <c r="AT3" s="36">
        <v>4.9829999999999997</v>
      </c>
      <c r="AU3" s="36"/>
      <c r="AV3" s="36"/>
      <c r="AW3" s="36">
        <v>3.589</v>
      </c>
      <c r="AX3" s="36">
        <v>1.365</v>
      </c>
      <c r="AY3" s="36"/>
      <c r="AZ3" s="36">
        <v>4.8040000000000003</v>
      </c>
      <c r="BA3" s="36">
        <v>4.2149999999999999</v>
      </c>
      <c r="BB3" s="36"/>
      <c r="BC3" s="36">
        <v>1.7889999999999999</v>
      </c>
      <c r="BD3" s="36"/>
      <c r="BE3" s="36"/>
      <c r="BF3" s="36"/>
      <c r="BG3" s="36"/>
      <c r="BH3" s="36"/>
      <c r="BI3" s="36"/>
    </row>
    <row r="4" spans="1:61" ht="15.75" thickBot="1" x14ac:dyDescent="0.3">
      <c r="A4" s="34"/>
      <c r="B4" s="37" t="s">
        <v>14</v>
      </c>
      <c r="C4" s="38"/>
      <c r="D4" s="38"/>
      <c r="E4" s="18" t="str">
        <f t="shared" ref="E4:E35" si="1">IF(OR(F4="=",F4="≈",F4="—"),"",IF(F4&gt;0,"",IF(F4&lt;0,"","")))</f>
        <v/>
      </c>
      <c r="F4" s="23" t="str">
        <f t="shared" si="0"/>
        <v>—</v>
      </c>
      <c r="G4" s="38">
        <v>0</v>
      </c>
      <c r="H4" s="6"/>
      <c r="I4" s="6">
        <f t="shared" ref="I4:I35" si="2">SUM(BG4:BR4)</f>
        <v>0</v>
      </c>
      <c r="J4" s="7"/>
      <c r="K4" s="12"/>
      <c r="L4" s="12"/>
      <c r="M4" s="12"/>
      <c r="N4" s="12"/>
      <c r="O4" s="12">
        <v>5.5</v>
      </c>
      <c r="P4" s="12">
        <v>5.5</v>
      </c>
      <c r="Q4" s="12"/>
      <c r="R4" s="12"/>
      <c r="S4" s="12"/>
      <c r="T4" s="12"/>
      <c r="U4" s="12"/>
      <c r="V4" s="12"/>
      <c r="W4" s="12"/>
      <c r="X4" s="12"/>
      <c r="Y4" s="12">
        <v>9.3030000000000008</v>
      </c>
      <c r="Z4" s="38">
        <v>4.9000000000000004</v>
      </c>
      <c r="AA4" s="38"/>
      <c r="AB4" s="38">
        <v>4.8</v>
      </c>
      <c r="AC4" s="38"/>
      <c r="AD4" s="38">
        <v>5</v>
      </c>
      <c r="AE4" s="38">
        <v>9.1</v>
      </c>
      <c r="AF4" s="38">
        <v>9.6</v>
      </c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>
        <v>4.9829999999999997</v>
      </c>
      <c r="AU4" s="38"/>
      <c r="AV4" s="38"/>
      <c r="AW4" s="38"/>
      <c r="AX4" s="38"/>
      <c r="AY4" s="38"/>
      <c r="AZ4" s="38">
        <v>4.8040000000000003</v>
      </c>
      <c r="BA4" s="38"/>
      <c r="BB4" s="38"/>
      <c r="BC4" s="38"/>
      <c r="BD4" s="38"/>
      <c r="BE4" s="38"/>
      <c r="BF4" s="38"/>
      <c r="BG4" s="38"/>
      <c r="BH4" s="38"/>
      <c r="BI4" s="38"/>
    </row>
    <row r="5" spans="1:61" ht="15.75" thickBot="1" x14ac:dyDescent="0.3">
      <c r="A5" s="39"/>
      <c r="B5" s="37" t="s">
        <v>46</v>
      </c>
      <c r="C5" s="38"/>
      <c r="D5" s="38"/>
      <c r="E5" s="18" t="str">
        <f t="shared" si="1"/>
        <v/>
      </c>
      <c r="F5" s="23" t="str">
        <f t="shared" si="0"/>
        <v>—</v>
      </c>
      <c r="G5" s="38">
        <v>0</v>
      </c>
      <c r="H5" s="6"/>
      <c r="I5" s="6">
        <f t="shared" si="2"/>
        <v>0</v>
      </c>
      <c r="J5" s="7"/>
      <c r="K5" s="12"/>
      <c r="L5" s="12"/>
      <c r="M5" s="12"/>
      <c r="N5" s="12"/>
      <c r="O5" s="12">
        <v>4.5</v>
      </c>
      <c r="P5" s="12"/>
      <c r="Q5" s="12"/>
      <c r="R5" s="12">
        <v>5.2460000000000004</v>
      </c>
      <c r="S5" s="12">
        <v>8.0687999999999995</v>
      </c>
      <c r="T5" s="12">
        <v>8.39</v>
      </c>
      <c r="U5" s="12"/>
      <c r="V5" s="12"/>
      <c r="W5" s="12"/>
      <c r="X5" s="12"/>
      <c r="Y5" s="12"/>
      <c r="Z5" s="38"/>
      <c r="AA5" s="38">
        <v>1.7829999999999999</v>
      </c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</row>
    <row r="6" spans="1:61" ht="15.75" thickBot="1" x14ac:dyDescent="0.3">
      <c r="A6" s="39"/>
      <c r="B6" s="37" t="s">
        <v>28</v>
      </c>
      <c r="C6" s="38"/>
      <c r="D6" s="38"/>
      <c r="E6" s="18" t="str">
        <f>IF(OR(F6="=",F6="≈",F6="—"),"",IF(F6&gt;0,"",IF(F6&lt;0,"","")))</f>
        <v/>
      </c>
      <c r="F6" s="23" t="str">
        <f t="shared" si="0"/>
        <v>—</v>
      </c>
      <c r="G6" s="38">
        <v>0</v>
      </c>
      <c r="H6" s="6"/>
      <c r="I6" s="6">
        <f t="shared" si="2"/>
        <v>0</v>
      </c>
      <c r="J6" s="7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>
        <v>7.0434999999999999</v>
      </c>
      <c r="W6" s="12"/>
      <c r="X6" s="12"/>
      <c r="Y6" s="12"/>
      <c r="Z6" s="38"/>
      <c r="AA6" s="38">
        <v>1</v>
      </c>
      <c r="AB6" s="38">
        <v>0.89900000000000002</v>
      </c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</row>
    <row r="7" spans="1:61" ht="15.75" thickBot="1" x14ac:dyDescent="0.3">
      <c r="A7" s="39"/>
      <c r="B7" s="37" t="s">
        <v>48</v>
      </c>
      <c r="C7" s="38"/>
      <c r="D7" s="38"/>
      <c r="E7" s="18" t="str">
        <f t="shared" si="1"/>
        <v/>
      </c>
      <c r="F7" s="23" t="str">
        <f t="shared" si="0"/>
        <v>—</v>
      </c>
      <c r="G7" s="38">
        <v>0</v>
      </c>
      <c r="H7" s="6"/>
      <c r="I7" s="6">
        <f t="shared" si="2"/>
        <v>0</v>
      </c>
      <c r="J7" s="7"/>
      <c r="K7" s="12"/>
      <c r="L7" s="12"/>
      <c r="M7" s="12"/>
      <c r="N7" s="12"/>
      <c r="O7" s="12"/>
      <c r="P7" s="12">
        <v>9.3000000000000007</v>
      </c>
      <c r="Q7" s="12"/>
      <c r="R7" s="12">
        <v>15.238</v>
      </c>
      <c r="S7" s="12">
        <v>9.8000000000000007</v>
      </c>
      <c r="T7" s="12"/>
      <c r="U7" s="12"/>
      <c r="V7" s="12"/>
      <c r="W7" s="12"/>
      <c r="X7" s="12"/>
      <c r="Y7" s="12"/>
      <c r="Z7" s="38">
        <v>4.75</v>
      </c>
      <c r="AA7" s="38">
        <v>7</v>
      </c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</row>
    <row r="8" spans="1:61" ht="15.75" thickBot="1" x14ac:dyDescent="0.3">
      <c r="A8" s="39"/>
      <c r="B8" s="37" t="s">
        <v>42</v>
      </c>
      <c r="C8" s="38"/>
      <c r="D8" s="38"/>
      <c r="E8" s="18" t="str">
        <f>IF(OR(F8="=",F8="≈",F8="—"),"",IF(F8&gt;0,"",IF(F8&lt;0,"","")))</f>
        <v/>
      </c>
      <c r="F8" s="23" t="str">
        <f t="shared" si="0"/>
        <v>—</v>
      </c>
      <c r="G8" s="38">
        <v>0</v>
      </c>
      <c r="H8" s="6"/>
      <c r="I8" s="6">
        <f t="shared" si="2"/>
        <v>0</v>
      </c>
      <c r="J8" s="7"/>
      <c r="K8" s="12"/>
      <c r="L8" s="12"/>
      <c r="M8" s="12"/>
      <c r="N8" s="12"/>
      <c r="O8" s="12"/>
      <c r="P8" s="12"/>
      <c r="Q8" s="12"/>
      <c r="R8" s="12">
        <v>8.8503170000000004</v>
      </c>
      <c r="S8" s="12"/>
      <c r="T8" s="12"/>
      <c r="U8" s="12"/>
      <c r="V8" s="12"/>
      <c r="W8" s="12"/>
      <c r="X8" s="12"/>
      <c r="Y8" s="12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</row>
    <row r="9" spans="1:61" ht="15.75" thickBot="1" x14ac:dyDescent="0.3">
      <c r="A9" s="39"/>
      <c r="B9" s="37" t="s">
        <v>16</v>
      </c>
      <c r="C9" s="38"/>
      <c r="D9" s="38"/>
      <c r="E9" s="18" t="str">
        <f>IF(OR(F9="=",F9="≈",F9="—"),"",IF(F9&gt;0,"",IF(F9&lt;0,"","")))</f>
        <v/>
      </c>
      <c r="F9" s="23" t="str">
        <f t="shared" si="0"/>
        <v>—</v>
      </c>
      <c r="G9" s="38">
        <v>0</v>
      </c>
      <c r="H9" s="6"/>
      <c r="I9" s="6">
        <f t="shared" si="2"/>
        <v>0</v>
      </c>
      <c r="J9" s="7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38"/>
      <c r="AA9" s="38">
        <v>3.3969999999999998</v>
      </c>
      <c r="AB9" s="38">
        <v>13.709</v>
      </c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</row>
    <row r="10" spans="1:61" ht="15.75" thickBot="1" x14ac:dyDescent="0.3">
      <c r="A10" s="39"/>
      <c r="B10" s="37" t="s">
        <v>30</v>
      </c>
      <c r="C10" s="38"/>
      <c r="D10" s="38"/>
      <c r="E10" s="18" t="str">
        <f t="shared" si="1"/>
        <v/>
      </c>
      <c r="F10" s="23" t="str">
        <f t="shared" si="0"/>
        <v>—</v>
      </c>
      <c r="G10" s="38">
        <v>0</v>
      </c>
      <c r="H10" s="6"/>
      <c r="I10" s="6">
        <f t="shared" si="2"/>
        <v>0</v>
      </c>
      <c r="J10" s="7"/>
      <c r="K10" s="12"/>
      <c r="L10" s="12"/>
      <c r="M10" s="12"/>
      <c r="N10" s="12"/>
      <c r="O10" s="12"/>
      <c r="P10" s="12">
        <v>5.5</v>
      </c>
      <c r="Q10" s="12"/>
      <c r="R10" s="12"/>
      <c r="S10" s="12"/>
      <c r="T10" s="12"/>
      <c r="U10" s="12"/>
      <c r="V10" s="12"/>
      <c r="W10" s="12"/>
      <c r="X10" s="12"/>
      <c r="Y10" s="12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</row>
    <row r="11" spans="1:61" ht="15.75" thickBot="1" x14ac:dyDescent="0.3">
      <c r="A11" s="39"/>
      <c r="B11" s="37" t="s">
        <v>11</v>
      </c>
      <c r="C11" s="38"/>
      <c r="D11" s="38"/>
      <c r="E11" s="18" t="str">
        <f t="shared" si="1"/>
        <v/>
      </c>
      <c r="F11" s="23" t="str">
        <f t="shared" si="0"/>
        <v>—</v>
      </c>
      <c r="G11" s="38">
        <v>0</v>
      </c>
      <c r="H11" s="6"/>
      <c r="I11" s="6">
        <f t="shared" si="2"/>
        <v>0</v>
      </c>
      <c r="J11" s="7"/>
      <c r="K11" s="12"/>
      <c r="L11" s="12"/>
      <c r="M11" s="12">
        <v>2</v>
      </c>
      <c r="N11" s="12">
        <v>1.8E-5</v>
      </c>
      <c r="O11" s="12"/>
      <c r="P11" s="12"/>
      <c r="Q11" s="12">
        <v>1.7500000000000002E-2</v>
      </c>
      <c r="R11" s="12"/>
      <c r="S11" s="12"/>
      <c r="T11" s="12"/>
      <c r="U11" s="12">
        <v>1.7649999999999999</v>
      </c>
      <c r="V11" s="12">
        <v>3.4180000000000001</v>
      </c>
      <c r="W11" s="12"/>
      <c r="X11" s="12">
        <v>1.4999999999999999E-2</v>
      </c>
      <c r="Y11" s="12"/>
      <c r="Z11" s="38">
        <v>0.01</v>
      </c>
      <c r="AA11" s="38">
        <v>3.4000000000000002E-2</v>
      </c>
      <c r="AB11" s="38"/>
      <c r="AC11" s="38"/>
      <c r="AD11" s="38">
        <v>1.7500000000000002E-2</v>
      </c>
      <c r="AE11" s="38">
        <v>5.52</v>
      </c>
      <c r="AF11" s="38"/>
      <c r="AG11" s="38"/>
      <c r="AH11" s="38"/>
      <c r="AI11" s="38"/>
      <c r="AJ11" s="38">
        <v>1.7999999999999999E-2</v>
      </c>
      <c r="AK11" s="38"/>
      <c r="AL11" s="38">
        <v>1.7999999999999999E-2</v>
      </c>
      <c r="AM11" s="38"/>
      <c r="AN11" s="38">
        <v>1.7</v>
      </c>
      <c r="AO11" s="38">
        <v>2.1520000000000001</v>
      </c>
      <c r="AP11" s="38">
        <v>0.02</v>
      </c>
      <c r="AQ11" s="38">
        <v>1.79</v>
      </c>
      <c r="AR11" s="38">
        <v>1.552</v>
      </c>
      <c r="AS11" s="38">
        <v>2.0379999999999998</v>
      </c>
      <c r="AT11" s="38"/>
      <c r="AU11" s="38"/>
      <c r="AV11" s="38"/>
      <c r="AW11" s="38">
        <v>3.589</v>
      </c>
      <c r="AX11" s="38">
        <v>1.365</v>
      </c>
      <c r="AY11" s="38"/>
      <c r="AZ11" s="38"/>
      <c r="BA11" s="38">
        <v>4.2149999999999999</v>
      </c>
      <c r="BB11" s="38"/>
      <c r="BC11" s="38">
        <v>1.7889999999999999</v>
      </c>
      <c r="BD11" s="38"/>
      <c r="BE11" s="38"/>
      <c r="BF11" s="38"/>
      <c r="BG11" s="38"/>
      <c r="BH11" s="38"/>
      <c r="BI11" s="38"/>
    </row>
    <row r="12" spans="1:61" ht="15.75" thickBot="1" x14ac:dyDescent="0.3">
      <c r="A12" s="24" t="s">
        <v>19</v>
      </c>
      <c r="B12" s="25"/>
      <c r="C12" s="26"/>
      <c r="D12" s="26"/>
      <c r="E12" s="27" t="str">
        <f t="shared" si="1"/>
        <v/>
      </c>
      <c r="F12" s="43" t="str">
        <f t="shared" si="0"/>
        <v>—</v>
      </c>
      <c r="G12" s="26">
        <v>0</v>
      </c>
      <c r="H12" s="6"/>
      <c r="I12" s="6">
        <f t="shared" si="2"/>
        <v>0</v>
      </c>
      <c r="K12" s="8">
        <v>0</v>
      </c>
      <c r="L12" s="8">
        <v>0</v>
      </c>
      <c r="M12" s="8">
        <v>5.2549299999999999</v>
      </c>
      <c r="N12" s="8">
        <v>1.7762</v>
      </c>
      <c r="O12" s="8">
        <v>1.021E-2</v>
      </c>
      <c r="P12" s="8">
        <v>5.19</v>
      </c>
      <c r="Q12" s="8">
        <v>1.8</v>
      </c>
      <c r="R12" s="8">
        <v>9.5896860000000004</v>
      </c>
      <c r="S12" s="8">
        <v>13.489000000000001</v>
      </c>
      <c r="T12" s="8">
        <v>3</v>
      </c>
      <c r="U12" s="8">
        <v>1E-3</v>
      </c>
      <c r="V12" s="8">
        <v>3.17</v>
      </c>
      <c r="W12" s="8"/>
      <c r="X12" s="8">
        <v>4.91</v>
      </c>
      <c r="Y12" s="8">
        <v>1E-3</v>
      </c>
      <c r="Z12" s="26"/>
      <c r="AA12" s="26"/>
      <c r="AB12" s="26"/>
      <c r="AC12" s="26"/>
      <c r="AD12" s="26"/>
      <c r="AE12" s="26">
        <v>1.258</v>
      </c>
      <c r="AF12" s="26"/>
      <c r="AG12" s="26"/>
      <c r="AH12" s="26"/>
      <c r="AI12" s="26"/>
      <c r="AJ12" s="26"/>
      <c r="AK12" s="26">
        <v>1.77</v>
      </c>
      <c r="AL12" s="26"/>
      <c r="AM12" s="26"/>
      <c r="AN12" s="26">
        <v>6.29</v>
      </c>
      <c r="AO12" s="26"/>
      <c r="AP12" s="26">
        <v>3.15</v>
      </c>
      <c r="AQ12" s="26">
        <v>3.3</v>
      </c>
      <c r="AR12" s="26">
        <v>12.598000000000001</v>
      </c>
      <c r="AS12" s="26">
        <v>3.149</v>
      </c>
      <c r="AT12" s="26">
        <v>6.69</v>
      </c>
      <c r="AU12" s="26"/>
      <c r="AV12" s="26"/>
      <c r="AW12" s="26">
        <v>2.0981000000000001</v>
      </c>
      <c r="AX12" s="26">
        <v>0.2</v>
      </c>
      <c r="AY12" s="26">
        <v>2.0790000000000002</v>
      </c>
      <c r="AZ12" s="26"/>
      <c r="BA12" s="26"/>
      <c r="BB12" s="26"/>
      <c r="BC12" s="26">
        <v>3.2989999999999999</v>
      </c>
      <c r="BD12" s="26"/>
      <c r="BE12" s="26"/>
      <c r="BF12" s="26"/>
      <c r="BG12" s="26"/>
      <c r="BH12" s="26"/>
      <c r="BI12" s="26"/>
    </row>
    <row r="13" spans="1:61" ht="15.75" thickBot="1" x14ac:dyDescent="0.3">
      <c r="A13" s="29"/>
      <c r="B13" s="32" t="s">
        <v>32</v>
      </c>
      <c r="C13" s="30"/>
      <c r="D13" s="30"/>
      <c r="E13" s="27" t="str">
        <f t="shared" si="1"/>
        <v/>
      </c>
      <c r="F13" s="44" t="str">
        <f t="shared" si="0"/>
        <v>—</v>
      </c>
      <c r="G13" s="30">
        <v>0</v>
      </c>
      <c r="H13" s="6"/>
      <c r="I13" s="6">
        <f t="shared" si="2"/>
        <v>0</v>
      </c>
      <c r="K13" s="9"/>
      <c r="L13" s="9"/>
      <c r="M13" s="9">
        <v>5.2549299999999999</v>
      </c>
      <c r="N13" s="9"/>
      <c r="O13" s="9">
        <v>2.1000000000000001E-4</v>
      </c>
      <c r="P13" s="9"/>
      <c r="Q13" s="9"/>
      <c r="R13" s="9"/>
      <c r="S13" s="9"/>
      <c r="T13" s="9"/>
      <c r="U13" s="9">
        <v>1E-3</v>
      </c>
      <c r="V13" s="9"/>
      <c r="W13" s="9"/>
      <c r="X13" s="9"/>
      <c r="Y13" s="9">
        <v>1E-3</v>
      </c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</row>
    <row r="14" spans="1:61" ht="15.75" thickBot="1" x14ac:dyDescent="0.3">
      <c r="A14" s="29"/>
      <c r="B14" s="32" t="s">
        <v>11</v>
      </c>
      <c r="C14" s="30"/>
      <c r="D14" s="30"/>
      <c r="E14" s="27" t="str">
        <f t="shared" si="1"/>
        <v/>
      </c>
      <c r="F14" s="44" t="str">
        <f t="shared" si="0"/>
        <v>—</v>
      </c>
      <c r="G14" s="30">
        <v>0</v>
      </c>
      <c r="H14" s="6"/>
      <c r="I14" s="6">
        <f t="shared" si="2"/>
        <v>0</v>
      </c>
      <c r="K14" s="9"/>
      <c r="L14" s="9"/>
      <c r="M14" s="9"/>
      <c r="N14" s="9">
        <v>1.7762</v>
      </c>
      <c r="O14" s="9"/>
      <c r="P14" s="9">
        <v>5.19</v>
      </c>
      <c r="Q14" s="9">
        <v>1.8</v>
      </c>
      <c r="R14" s="9">
        <v>1.703686</v>
      </c>
      <c r="S14" s="9"/>
      <c r="T14" s="9"/>
      <c r="U14" s="9"/>
      <c r="V14" s="9"/>
      <c r="W14" s="9"/>
      <c r="X14" s="9">
        <v>1.762</v>
      </c>
      <c r="Y14" s="9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>
        <v>1.77</v>
      </c>
      <c r="AL14" s="30"/>
      <c r="AM14" s="30"/>
      <c r="AN14" s="30"/>
      <c r="AO14" s="30"/>
      <c r="AP14" s="30"/>
      <c r="AQ14" s="30"/>
      <c r="AR14" s="30"/>
      <c r="AS14" s="30"/>
      <c r="AT14" s="30">
        <v>3.5419999999999998</v>
      </c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</row>
    <row r="15" spans="1:61" ht="15.75" thickBot="1" x14ac:dyDescent="0.3">
      <c r="A15" s="29"/>
      <c r="B15" s="32" t="s">
        <v>14</v>
      </c>
      <c r="C15" s="30"/>
      <c r="D15" s="30"/>
      <c r="E15" s="27" t="str">
        <f>IF(OR(F15="=",F15="≈",F15="—"),"",IF(F15&gt;0,"",IF(F15&lt;0,"","")))</f>
        <v/>
      </c>
      <c r="F15" s="44" t="str">
        <f t="shared" si="0"/>
        <v>—</v>
      </c>
      <c r="G15" s="30">
        <v>0</v>
      </c>
      <c r="H15" s="6"/>
      <c r="I15" s="6">
        <f t="shared" si="2"/>
        <v>0</v>
      </c>
      <c r="K15" s="9"/>
      <c r="L15" s="9"/>
      <c r="M15" s="9"/>
      <c r="N15" s="9"/>
      <c r="O15" s="9"/>
      <c r="P15" s="9"/>
      <c r="Q15" s="9"/>
      <c r="R15" s="9">
        <v>2.8860000000000001</v>
      </c>
      <c r="S15" s="9">
        <v>1.99</v>
      </c>
      <c r="T15" s="9">
        <v>3</v>
      </c>
      <c r="U15" s="9"/>
      <c r="V15" s="9">
        <v>3.17</v>
      </c>
      <c r="W15" s="9"/>
      <c r="X15" s="9">
        <v>3.149</v>
      </c>
      <c r="Y15" s="9"/>
      <c r="Z15" s="30"/>
      <c r="AA15" s="30"/>
      <c r="AB15" s="30"/>
      <c r="AC15" s="30"/>
      <c r="AD15" s="30"/>
      <c r="AE15" s="30">
        <v>1.258</v>
      </c>
      <c r="AF15" s="30"/>
      <c r="AG15" s="30"/>
      <c r="AH15" s="30"/>
      <c r="AI15" s="30"/>
      <c r="AJ15" s="30"/>
      <c r="AK15" s="30"/>
      <c r="AL15" s="30"/>
      <c r="AM15" s="30"/>
      <c r="AN15" s="30">
        <v>6.29</v>
      </c>
      <c r="AO15" s="30"/>
      <c r="AP15" s="30">
        <v>3.15</v>
      </c>
      <c r="AQ15" s="30">
        <v>3.3</v>
      </c>
      <c r="AR15" s="30">
        <v>12.598000000000001</v>
      </c>
      <c r="AS15" s="30">
        <v>3.149</v>
      </c>
      <c r="AT15" s="30">
        <v>3.149</v>
      </c>
      <c r="AU15" s="30"/>
      <c r="AV15" s="30"/>
      <c r="AW15" s="30"/>
      <c r="AX15" s="30"/>
      <c r="AY15" s="30"/>
      <c r="AZ15" s="30"/>
      <c r="BA15" s="30"/>
      <c r="BB15" s="30"/>
      <c r="BC15" s="30">
        <v>3.2989999999999999</v>
      </c>
      <c r="BD15" s="30"/>
      <c r="BE15" s="30"/>
      <c r="BF15" s="30"/>
      <c r="BG15" s="30"/>
      <c r="BH15" s="30"/>
      <c r="BI15" s="30"/>
    </row>
    <row r="16" spans="1:61" ht="15.75" thickBot="1" x14ac:dyDescent="0.3">
      <c r="A16" s="29"/>
      <c r="B16" s="32" t="s">
        <v>46</v>
      </c>
      <c r="C16" s="30"/>
      <c r="D16" s="30"/>
      <c r="E16" s="27" t="str">
        <f>IF(OR(F16="=",F16="≈",F16="—"),"",IF(F16&gt;0,"",IF(F16&lt;0,"","")))</f>
        <v/>
      </c>
      <c r="F16" s="44" t="str">
        <f t="shared" si="0"/>
        <v>—</v>
      </c>
      <c r="G16" s="30">
        <v>0</v>
      </c>
      <c r="H16" s="6"/>
      <c r="I16" s="6">
        <f t="shared" si="2"/>
        <v>0</v>
      </c>
      <c r="K16" s="9"/>
      <c r="L16" s="9"/>
      <c r="M16" s="9"/>
      <c r="N16" s="9"/>
      <c r="O16" s="9"/>
      <c r="P16" s="9"/>
      <c r="Q16" s="9"/>
      <c r="R16" s="9">
        <v>5</v>
      </c>
      <c r="S16" s="9">
        <v>11.499000000000001</v>
      </c>
      <c r="T16" s="9"/>
      <c r="U16" s="9"/>
      <c r="V16" s="9"/>
      <c r="W16" s="9"/>
      <c r="X16" s="9"/>
      <c r="Y16" s="9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</row>
    <row r="17" spans="1:61" ht="15.75" thickBot="1" x14ac:dyDescent="0.3">
      <c r="A17" s="29"/>
      <c r="B17" s="32" t="s">
        <v>91</v>
      </c>
      <c r="C17" s="30"/>
      <c r="D17" s="30"/>
      <c r="E17" s="27" t="str">
        <f>IF(OR(F17="=",F17="≈",F17="—"),"",IF(F17&gt;0,"",IF(F17&lt;0,"","")))</f>
        <v/>
      </c>
      <c r="F17" s="44" t="str">
        <f t="shared" si="0"/>
        <v>—</v>
      </c>
      <c r="G17" s="30">
        <v>0</v>
      </c>
      <c r="H17" s="6"/>
      <c r="I17" s="6">
        <f t="shared" si="2"/>
        <v>0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>
        <v>2.0981000000000001</v>
      </c>
      <c r="AX17" s="30">
        <v>0.2</v>
      </c>
      <c r="AY17" s="30">
        <v>2.0790000000000002</v>
      </c>
      <c r="AZ17" s="30"/>
      <c r="BA17" s="30"/>
      <c r="BB17" s="30"/>
      <c r="BC17" s="30"/>
      <c r="BD17" s="30"/>
      <c r="BE17" s="30"/>
      <c r="BF17" s="30"/>
      <c r="BG17" s="30"/>
      <c r="BH17" s="30"/>
      <c r="BI17" s="30"/>
    </row>
    <row r="18" spans="1:61" ht="15.75" thickBot="1" x14ac:dyDescent="0.3">
      <c r="A18" s="29"/>
      <c r="B18" s="32" t="s">
        <v>43</v>
      </c>
      <c r="C18" s="30"/>
      <c r="D18" s="30"/>
      <c r="E18" s="27" t="str">
        <f t="shared" si="1"/>
        <v/>
      </c>
      <c r="F18" s="44" t="str">
        <f t="shared" si="0"/>
        <v>—</v>
      </c>
      <c r="G18" s="30">
        <v>0</v>
      </c>
      <c r="H18" s="6"/>
      <c r="I18" s="6">
        <f t="shared" si="2"/>
        <v>0</v>
      </c>
      <c r="K18" s="9"/>
      <c r="L18" s="9"/>
      <c r="M18" s="9"/>
      <c r="N18" s="9"/>
      <c r="O18" s="9">
        <v>0.01</v>
      </c>
      <c r="P18" s="9"/>
      <c r="Q18" s="9"/>
      <c r="R18" s="9"/>
      <c r="S18" s="9"/>
      <c r="T18" s="9"/>
      <c r="U18" s="9"/>
      <c r="V18" s="9"/>
      <c r="W18" s="9"/>
      <c r="X18" s="9"/>
      <c r="Y18" s="9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</row>
    <row r="19" spans="1:61" ht="15.75" thickBot="1" x14ac:dyDescent="0.3">
      <c r="A19" s="34" t="s">
        <v>13</v>
      </c>
      <c r="B19" s="42"/>
      <c r="C19" s="36">
        <v>1.38E-2</v>
      </c>
      <c r="D19" s="36">
        <v>7.0000000000000007E-2</v>
      </c>
      <c r="E19" s="41" t="str">
        <f t="shared" si="1"/>
        <v></v>
      </c>
      <c r="F19" s="23">
        <f t="shared" si="0"/>
        <v>-0.80285714285714294</v>
      </c>
      <c r="G19" s="36">
        <v>0.11380000000000001</v>
      </c>
      <c r="H19" s="6"/>
      <c r="I19" s="6">
        <f t="shared" si="2"/>
        <v>0.11380000000000001</v>
      </c>
      <c r="J19" s="7"/>
      <c r="K19" s="46">
        <v>7.1500000000000001E-3</v>
      </c>
      <c r="L19" s="46">
        <v>2.0206599999999999</v>
      </c>
      <c r="M19" s="46">
        <v>2.1134000000000004</v>
      </c>
      <c r="N19" s="46">
        <v>2.1000000000000001E-2</v>
      </c>
      <c r="O19" s="46">
        <v>3.2099999999999997E-2</v>
      </c>
      <c r="P19" s="46">
        <v>1.695E-2</v>
      </c>
      <c r="Q19" s="46">
        <v>1.7000000000000001E-2</v>
      </c>
      <c r="R19" s="46">
        <v>4.1250599999999995</v>
      </c>
      <c r="S19" s="46">
        <v>8.0804799999999997</v>
      </c>
      <c r="T19" s="46">
        <v>8.660499999999999</v>
      </c>
      <c r="U19" s="46">
        <v>1.5099999999999999E-2</v>
      </c>
      <c r="V19" s="46">
        <v>2E-3</v>
      </c>
      <c r="W19" s="46">
        <v>1.2699999999999999E-2</v>
      </c>
      <c r="X19" s="46">
        <v>0.01</v>
      </c>
      <c r="Y19" s="46">
        <v>8.0000000000000002E-3</v>
      </c>
      <c r="Z19" s="36">
        <v>4.016</v>
      </c>
      <c r="AA19" s="36">
        <v>2.8299999999999999E-2</v>
      </c>
      <c r="AB19" s="36">
        <v>8.0679999999999996</v>
      </c>
      <c r="AC19" s="36">
        <v>2.0640000000000001</v>
      </c>
      <c r="AD19" s="36">
        <v>1.9099999999999999E-2</v>
      </c>
      <c r="AE19" s="36">
        <v>5.5E-2</v>
      </c>
      <c r="AF19" s="36">
        <v>5.76</v>
      </c>
      <c r="AG19" s="36">
        <v>2.0289999999999999</v>
      </c>
      <c r="AH19" s="36">
        <v>4.0410000000000004</v>
      </c>
      <c r="AI19" s="36">
        <v>4.03</v>
      </c>
      <c r="AJ19" s="36">
        <v>2.0099999999999998</v>
      </c>
      <c r="AK19" s="36">
        <v>2.04</v>
      </c>
      <c r="AL19" s="36">
        <v>2.016</v>
      </c>
      <c r="AM19" s="36">
        <v>4.04</v>
      </c>
      <c r="AN19" s="36">
        <v>7.24</v>
      </c>
      <c r="AO19" s="36">
        <v>8.56</v>
      </c>
      <c r="AP19" s="36">
        <v>8.0399999999999991</v>
      </c>
      <c r="AQ19" s="36">
        <v>1.98</v>
      </c>
      <c r="AR19" s="36">
        <v>4.0190000000000001</v>
      </c>
      <c r="AS19" s="36">
        <v>2.0299999999999998</v>
      </c>
      <c r="AT19" s="36">
        <v>4.04</v>
      </c>
      <c r="AU19" s="36">
        <v>4.01</v>
      </c>
      <c r="AV19" s="36">
        <v>2.06</v>
      </c>
      <c r="AW19" s="36">
        <v>4.2799999999999998E-2</v>
      </c>
      <c r="AX19" s="36">
        <v>4.827E-2</v>
      </c>
      <c r="AY19" s="36">
        <v>2.0489999999999999</v>
      </c>
      <c r="AZ19" s="36">
        <v>2.12</v>
      </c>
      <c r="BA19" s="36">
        <v>1.9E-2</v>
      </c>
      <c r="BB19" s="36">
        <v>4.34</v>
      </c>
      <c r="BC19" s="36">
        <v>1.98</v>
      </c>
      <c r="BD19" s="36">
        <v>2.04</v>
      </c>
      <c r="BE19" s="36">
        <v>2.02</v>
      </c>
      <c r="BF19" s="36">
        <v>0.03</v>
      </c>
      <c r="BG19" s="36">
        <v>0.03</v>
      </c>
      <c r="BH19" s="36">
        <v>7.0000000000000007E-2</v>
      </c>
      <c r="BI19" s="36">
        <v>1.38E-2</v>
      </c>
    </row>
    <row r="20" spans="1:61" ht="15.75" thickBot="1" x14ac:dyDescent="0.3">
      <c r="A20" s="39"/>
      <c r="B20" s="37" t="s">
        <v>14</v>
      </c>
      <c r="C20" s="38"/>
      <c r="D20" s="38">
        <v>0.01</v>
      </c>
      <c r="E20" s="41" t="str">
        <f t="shared" si="1"/>
        <v/>
      </c>
      <c r="F20" s="23" t="str">
        <f t="shared" si="0"/>
        <v>—</v>
      </c>
      <c r="G20" s="38">
        <v>0.02</v>
      </c>
      <c r="H20" s="6"/>
      <c r="I20" s="6">
        <f t="shared" si="2"/>
        <v>0.02</v>
      </c>
      <c r="J20" s="7"/>
      <c r="K20" s="47"/>
      <c r="L20" s="47">
        <v>2</v>
      </c>
      <c r="M20" s="47">
        <v>2.0895000000000001</v>
      </c>
      <c r="N20" s="47"/>
      <c r="O20" s="47"/>
      <c r="P20" s="47"/>
      <c r="Q20" s="47"/>
      <c r="R20" s="47">
        <v>4.1139999999999999</v>
      </c>
      <c r="S20" s="47">
        <v>8.0670000000000002</v>
      </c>
      <c r="T20" s="47">
        <v>8.6419999999999995</v>
      </c>
      <c r="U20" s="47"/>
      <c r="V20" s="47"/>
      <c r="W20" s="47"/>
      <c r="X20" s="47"/>
      <c r="Y20" s="47"/>
      <c r="Z20" s="38"/>
      <c r="AA20" s="38"/>
      <c r="AB20" s="38">
        <v>4</v>
      </c>
      <c r="AC20" s="38"/>
      <c r="AD20" s="38"/>
      <c r="AE20" s="38"/>
      <c r="AF20" s="38">
        <v>5.6779999999999999</v>
      </c>
      <c r="AG20" s="38"/>
      <c r="AH20" s="38"/>
      <c r="AI20" s="38">
        <v>2</v>
      </c>
      <c r="AJ20" s="38"/>
      <c r="AK20" s="38"/>
      <c r="AL20" s="38">
        <v>2</v>
      </c>
      <c r="AM20" s="38"/>
      <c r="AN20" s="38">
        <v>3.25</v>
      </c>
      <c r="AO20" s="38">
        <v>6.532</v>
      </c>
      <c r="AP20" s="38">
        <v>2</v>
      </c>
      <c r="AQ20" s="38"/>
      <c r="AR20" s="38">
        <v>2.0990000000000002</v>
      </c>
      <c r="AS20" s="38"/>
      <c r="AT20" s="38"/>
      <c r="AU20" s="38">
        <v>4</v>
      </c>
      <c r="AV20" s="38">
        <v>1.9980000000000001E-2</v>
      </c>
      <c r="AW20" s="38"/>
      <c r="AX20" s="38"/>
      <c r="AY20" s="38"/>
      <c r="AZ20" s="38"/>
      <c r="BA20" s="38"/>
      <c r="BB20" s="38">
        <v>4.3099999999999996</v>
      </c>
      <c r="BC20" s="38"/>
      <c r="BD20" s="38">
        <v>0.01</v>
      </c>
      <c r="BE20" s="38">
        <v>0.01</v>
      </c>
      <c r="BF20" s="38">
        <v>0.01</v>
      </c>
      <c r="BG20" s="38">
        <v>0.01</v>
      </c>
      <c r="BH20" s="38">
        <v>0.01</v>
      </c>
      <c r="BI20" s="38"/>
    </row>
    <row r="21" spans="1:61" ht="15.75" thickBot="1" x14ac:dyDescent="0.3">
      <c r="A21" s="39"/>
      <c r="B21" s="37" t="s">
        <v>41</v>
      </c>
      <c r="C21" s="38"/>
      <c r="D21" s="38">
        <v>8.0000000000000002E-3</v>
      </c>
      <c r="E21" s="41" t="str">
        <f t="shared" si="1"/>
        <v/>
      </c>
      <c r="F21" s="23" t="str">
        <f t="shared" si="0"/>
        <v>—</v>
      </c>
      <c r="G21" s="38">
        <v>8.0000000000000002E-3</v>
      </c>
      <c r="H21" s="6"/>
      <c r="I21" s="6">
        <f t="shared" si="2"/>
        <v>8.0000000000000002E-3</v>
      </c>
      <c r="J21" s="7"/>
      <c r="K21" s="47">
        <v>3.9899999999999996E-3</v>
      </c>
      <c r="L21" s="47">
        <v>1.7500000000000002E-2</v>
      </c>
      <c r="M21" s="47">
        <v>1.7500000000000002E-2</v>
      </c>
      <c r="N21" s="47"/>
      <c r="O21" s="47">
        <v>1.7500000000000002E-2</v>
      </c>
      <c r="P21" s="47">
        <v>7.9000000000000008E-3</v>
      </c>
      <c r="Q21" s="47">
        <v>1.7000000000000001E-2</v>
      </c>
      <c r="R21" s="47">
        <v>8.0000000000000002E-3</v>
      </c>
      <c r="S21" s="47">
        <v>7.9799999999999992E-3</v>
      </c>
      <c r="T21" s="47">
        <v>1.7000000000000001E-2</v>
      </c>
      <c r="U21" s="47">
        <v>8.0000000000000002E-3</v>
      </c>
      <c r="V21" s="47"/>
      <c r="W21" s="47">
        <v>8.0000000000000002E-3</v>
      </c>
      <c r="X21" s="47">
        <v>8.0000000000000002E-3</v>
      </c>
      <c r="Y21" s="47">
        <v>8.0000000000000002E-3</v>
      </c>
      <c r="Z21" s="38">
        <v>7.9799999999999992E-3</v>
      </c>
      <c r="AA21" s="38">
        <v>8.7779999999999993E-3</v>
      </c>
      <c r="AB21" s="38">
        <v>8.7779999999999993E-3</v>
      </c>
      <c r="AC21" s="38">
        <v>8.7779999999999993E-3</v>
      </c>
      <c r="AD21" s="38">
        <v>8.7779999999999993E-3</v>
      </c>
      <c r="AE21" s="38"/>
      <c r="AF21" s="38"/>
      <c r="AG21" s="38"/>
      <c r="AH21" s="38"/>
      <c r="AI21" s="38">
        <v>8.7779999999999993E-3</v>
      </c>
      <c r="AJ21" s="38"/>
      <c r="AK21" s="38">
        <v>8.6999999999999994E-3</v>
      </c>
      <c r="AL21" s="38"/>
      <c r="AM21" s="38"/>
      <c r="AN21" s="38">
        <v>8.0000000000000002E-3</v>
      </c>
      <c r="AO21" s="38">
        <v>7.9799999999999992E-3</v>
      </c>
      <c r="AP21" s="38"/>
      <c r="AQ21" s="38"/>
      <c r="AR21" s="38"/>
      <c r="AS21" s="38"/>
      <c r="AT21" s="38"/>
      <c r="AU21" s="38"/>
      <c r="AV21" s="38">
        <v>8.7779999999999993E-3</v>
      </c>
      <c r="AW21" s="38">
        <v>8.7779999999999993E-3</v>
      </c>
      <c r="AX21" s="38"/>
      <c r="AY21" s="38">
        <v>1.7569999999999999E-2</v>
      </c>
      <c r="AZ21" s="38"/>
      <c r="BA21" s="38"/>
      <c r="BB21" s="38">
        <v>1.7000000000000001E-2</v>
      </c>
      <c r="BC21" s="38"/>
      <c r="BD21" s="38"/>
      <c r="BE21" s="38"/>
      <c r="BF21" s="38">
        <v>8.0000000000000002E-3</v>
      </c>
      <c r="BG21" s="38"/>
      <c r="BH21" s="38">
        <v>8.0000000000000002E-3</v>
      </c>
      <c r="BI21" s="38"/>
    </row>
    <row r="22" spans="1:61" ht="15.75" thickBot="1" x14ac:dyDescent="0.3">
      <c r="A22" s="39"/>
      <c r="B22" s="37" t="s">
        <v>53</v>
      </c>
      <c r="C22" s="38"/>
      <c r="D22" s="38"/>
      <c r="E22" s="41" t="str">
        <f>IF(OR(F22="=",F22="≈",F22="—"),"",IF(F22&gt;0,"",IF(F22&lt;0,"","")))</f>
        <v/>
      </c>
      <c r="F22" s="23" t="str">
        <f t="shared" si="0"/>
        <v>—</v>
      </c>
      <c r="G22" s="38">
        <v>0</v>
      </c>
      <c r="H22" s="6"/>
      <c r="I22" s="6">
        <f t="shared" si="2"/>
        <v>0</v>
      </c>
      <c r="J22" s="7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38"/>
      <c r="AA22" s="38"/>
      <c r="AB22" s="38">
        <v>4.008</v>
      </c>
      <c r="AC22" s="38">
        <v>2.0058959999999999</v>
      </c>
      <c r="AD22" s="38"/>
      <c r="AE22" s="38"/>
      <c r="AF22" s="38"/>
      <c r="AG22" s="38">
        <v>2</v>
      </c>
      <c r="AH22" s="38">
        <v>4</v>
      </c>
      <c r="AI22" s="38">
        <v>1.9987999999999999</v>
      </c>
      <c r="AJ22" s="38">
        <v>2.0019999999999998</v>
      </c>
      <c r="AK22" s="38">
        <v>2.008</v>
      </c>
      <c r="AL22" s="38"/>
      <c r="AM22" s="38">
        <v>4.01</v>
      </c>
      <c r="AN22" s="38">
        <v>3.98</v>
      </c>
      <c r="AO22" s="38">
        <v>2.0070000000000001</v>
      </c>
      <c r="AP22" s="38">
        <v>4.0199999999999996</v>
      </c>
      <c r="AQ22" s="38">
        <v>1.97</v>
      </c>
      <c r="AR22" s="38">
        <v>1.9987999999999999</v>
      </c>
      <c r="AS22" s="38">
        <v>2.0099999999999998</v>
      </c>
      <c r="AT22" s="38">
        <v>4.0084</v>
      </c>
      <c r="AU22" s="38"/>
      <c r="AV22" s="38">
        <v>2.0139999999999998</v>
      </c>
      <c r="AW22" s="38"/>
      <c r="AX22" s="38"/>
      <c r="AY22" s="38">
        <v>2.0139999999999998</v>
      </c>
      <c r="AZ22" s="38">
        <v>2.093</v>
      </c>
      <c r="BA22" s="38"/>
      <c r="BB22" s="38"/>
      <c r="BC22" s="38">
        <v>1.966</v>
      </c>
      <c r="BD22" s="38">
        <v>2.0089999999999999</v>
      </c>
      <c r="BE22" s="38">
        <v>2</v>
      </c>
      <c r="BF22" s="38"/>
      <c r="BG22" s="38"/>
      <c r="BH22" s="38"/>
      <c r="BI22" s="38"/>
    </row>
    <row r="23" spans="1:61" ht="15.75" thickBot="1" x14ac:dyDescent="0.3">
      <c r="A23" s="39"/>
      <c r="B23" s="37" t="s">
        <v>45</v>
      </c>
      <c r="C23" s="38"/>
      <c r="D23" s="38">
        <v>0.01</v>
      </c>
      <c r="E23" s="41" t="str">
        <f t="shared" si="1"/>
        <v/>
      </c>
      <c r="F23" s="23" t="str">
        <f t="shared" si="0"/>
        <v>—</v>
      </c>
      <c r="G23" s="38">
        <v>0.01</v>
      </c>
      <c r="H23" s="6"/>
      <c r="I23" s="6">
        <f t="shared" si="2"/>
        <v>0.01</v>
      </c>
      <c r="J23" s="7"/>
      <c r="K23" s="12"/>
      <c r="L23" s="12"/>
      <c r="M23" s="12"/>
      <c r="N23" s="12">
        <v>2.1000000000000001E-2</v>
      </c>
      <c r="O23" s="12"/>
      <c r="P23" s="12"/>
      <c r="Q23" s="12"/>
      <c r="R23" s="12"/>
      <c r="S23" s="12"/>
      <c r="T23" s="12"/>
      <c r="U23" s="12"/>
      <c r="V23" s="12"/>
      <c r="W23" s="12"/>
      <c r="X23" s="12" t="s">
        <v>60</v>
      </c>
      <c r="Y23" s="12"/>
      <c r="Z23" s="38"/>
      <c r="AA23" s="38">
        <v>1.0500000000000001E-2</v>
      </c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>
        <v>1.0500000000000001E-2</v>
      </c>
      <c r="AM23" s="38"/>
      <c r="AN23" s="38"/>
      <c r="AO23" s="38"/>
      <c r="AP23" s="38"/>
      <c r="AQ23" s="38"/>
      <c r="AR23" s="38"/>
      <c r="AS23" s="38">
        <v>1.0500000000000001E-2</v>
      </c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>
        <v>0.01</v>
      </c>
      <c r="BI23" s="38"/>
    </row>
    <row r="24" spans="1:61" ht="15.75" thickBot="1" x14ac:dyDescent="0.3">
      <c r="A24" s="34"/>
      <c r="B24" s="37" t="s">
        <v>44</v>
      </c>
      <c r="C24" s="38"/>
      <c r="D24" s="38"/>
      <c r="E24" s="41" t="str">
        <f t="shared" si="1"/>
        <v/>
      </c>
      <c r="F24" s="23" t="str">
        <f t="shared" si="0"/>
        <v>—</v>
      </c>
      <c r="G24" s="38">
        <v>3.9500000000000004E-3</v>
      </c>
      <c r="H24" s="6"/>
      <c r="I24" s="6">
        <f t="shared" si="2"/>
        <v>3.9500000000000004E-3</v>
      </c>
      <c r="J24" s="7"/>
      <c r="K24" s="12">
        <v>3.16E-3</v>
      </c>
      <c r="L24" s="12">
        <v>3.16E-3</v>
      </c>
      <c r="M24" s="12"/>
      <c r="N24" s="12"/>
      <c r="O24" s="12">
        <v>1.1299999999999999E-2</v>
      </c>
      <c r="P24" s="12">
        <v>6.6499999999999997E-3</v>
      </c>
      <c r="Q24" s="12"/>
      <c r="R24" s="11"/>
      <c r="S24" s="12">
        <v>5.4999999999999997E-3</v>
      </c>
      <c r="T24" s="12"/>
      <c r="U24" s="12">
        <v>3.5000000000000001E-3</v>
      </c>
      <c r="V24" s="12"/>
      <c r="W24" s="12">
        <v>3.9500000000000004E-3</v>
      </c>
      <c r="X24" s="12"/>
      <c r="Y24" s="12"/>
      <c r="Z24" s="38"/>
      <c r="AA24" s="38">
        <v>7.5500000000000003E-3</v>
      </c>
      <c r="AB24" s="38"/>
      <c r="AC24" s="38">
        <v>4.346E-3</v>
      </c>
      <c r="AD24" s="38">
        <v>4.3449999999999999E-3</v>
      </c>
      <c r="AE24" s="38">
        <v>4.7400000000000003E-3</v>
      </c>
      <c r="AF24" s="38"/>
      <c r="AG24" s="38"/>
      <c r="AH24" s="38"/>
      <c r="AI24" s="38">
        <v>9.4800000000000006E-3</v>
      </c>
      <c r="AJ24" s="38"/>
      <c r="AK24" s="38">
        <v>4.7400000000000003E-3</v>
      </c>
      <c r="AL24" s="38">
        <v>4.7400000000000003E-3</v>
      </c>
      <c r="AM24" s="38">
        <v>4.7400000000000003E-3</v>
      </c>
      <c r="AN24" s="38"/>
      <c r="AO24" s="38"/>
      <c r="AP24" s="38"/>
      <c r="AQ24" s="38"/>
      <c r="AR24" s="38"/>
      <c r="AS24" s="38"/>
      <c r="AT24" s="38"/>
      <c r="AU24" s="38"/>
      <c r="AV24" s="38">
        <v>1.58E-3</v>
      </c>
      <c r="AW24" s="38"/>
      <c r="AX24" s="38">
        <v>1.58E-3</v>
      </c>
      <c r="AY24" s="38">
        <v>3.5599999999999998E-3</v>
      </c>
      <c r="AZ24" s="38">
        <v>3.9500000000000004E-3</v>
      </c>
      <c r="BA24" s="38"/>
      <c r="BB24" s="38">
        <v>3.16E-3</v>
      </c>
      <c r="BC24" s="38">
        <v>2E-3</v>
      </c>
      <c r="BD24" s="38"/>
      <c r="BE24" s="38">
        <v>3.0000000000000001E-3</v>
      </c>
      <c r="BF24" s="38"/>
      <c r="BG24" s="38">
        <v>3.9500000000000004E-3</v>
      </c>
      <c r="BH24" s="38"/>
      <c r="BI24" s="38"/>
    </row>
    <row r="25" spans="1:61" ht="15.75" thickBot="1" x14ac:dyDescent="0.3">
      <c r="A25" s="39"/>
      <c r="B25" s="37" t="s">
        <v>37</v>
      </c>
      <c r="C25" s="38"/>
      <c r="D25" s="38">
        <v>1.9E-3</v>
      </c>
      <c r="E25" s="41" t="str">
        <f>IF(OR(F25="=",F25="≈",F25="—"),"",IF(F25&gt;0,"",IF(F25&lt;0,"","")))</f>
        <v/>
      </c>
      <c r="F25" s="23" t="str">
        <f t="shared" si="0"/>
        <v>—</v>
      </c>
      <c r="G25" s="38">
        <v>6.79E-3</v>
      </c>
      <c r="H25" s="6"/>
      <c r="I25" s="6">
        <f t="shared" si="2"/>
        <v>6.79E-3</v>
      </c>
      <c r="J25" s="7"/>
      <c r="K25" s="47"/>
      <c r="L25" s="47"/>
      <c r="M25" s="47">
        <v>6.4000000000000003E-3</v>
      </c>
      <c r="N25" s="47"/>
      <c r="O25" s="47">
        <v>3.3E-3</v>
      </c>
      <c r="P25" s="47">
        <v>2.3999999999999998E-3</v>
      </c>
      <c r="Q25" s="47"/>
      <c r="R25" s="47">
        <v>3.0599999999999998E-3</v>
      </c>
      <c r="S25" s="47"/>
      <c r="T25" s="47">
        <v>1.5E-3</v>
      </c>
      <c r="U25" s="47">
        <v>3.5999999999999999E-3</v>
      </c>
      <c r="V25" s="47">
        <v>2E-3</v>
      </c>
      <c r="W25" s="47"/>
      <c r="X25" s="47">
        <v>2E-3</v>
      </c>
      <c r="Y25" s="47">
        <v>1E-3</v>
      </c>
      <c r="Z25" s="38">
        <v>4.2160000000000001E-3</v>
      </c>
      <c r="AA25" s="38">
        <v>1.5299999999999999E-3</v>
      </c>
      <c r="AB25" s="38">
        <v>1.836E-3</v>
      </c>
      <c r="AC25" s="38"/>
      <c r="AD25" s="38"/>
      <c r="AE25" s="38">
        <v>3.3660000000000001E-3</v>
      </c>
      <c r="AF25" s="38">
        <v>1.836E-3</v>
      </c>
      <c r="AG25" s="38"/>
      <c r="AH25" s="38"/>
      <c r="AI25" s="38"/>
      <c r="AJ25" s="38">
        <v>3.0400000000000002E-3</v>
      </c>
      <c r="AK25" s="38"/>
      <c r="AL25" s="38">
        <v>1.5299999999999999E-3</v>
      </c>
      <c r="AM25" s="38">
        <v>3.0599999999999998E-3</v>
      </c>
      <c r="AN25" s="38"/>
      <c r="AO25" s="38"/>
      <c r="AP25" s="38"/>
      <c r="AQ25" s="38"/>
      <c r="AR25" s="38"/>
      <c r="AS25" s="38">
        <v>2.1419999999999998E-3</v>
      </c>
      <c r="AT25" s="38"/>
      <c r="AU25" s="38">
        <v>3.3E-3</v>
      </c>
      <c r="AV25" s="38">
        <v>1.4959999999999999E-3</v>
      </c>
      <c r="AW25" s="38">
        <v>3.9779999999999998E-3</v>
      </c>
      <c r="AX25" s="38"/>
      <c r="AY25" s="38">
        <v>2.2000000000000001E-3</v>
      </c>
      <c r="AZ25" s="38"/>
      <c r="BA25" s="38"/>
      <c r="BB25" s="38">
        <v>3.8999999999999998E-3</v>
      </c>
      <c r="BC25" s="38">
        <v>2.3999999999999998E-3</v>
      </c>
      <c r="BD25" s="38">
        <v>3.0000000000000001E-3</v>
      </c>
      <c r="BE25" s="38"/>
      <c r="BF25" s="38">
        <v>2E-3</v>
      </c>
      <c r="BG25" s="38">
        <v>4.8900000000000002E-3</v>
      </c>
      <c r="BH25" s="38">
        <v>1.9E-3</v>
      </c>
      <c r="BI25" s="38"/>
    </row>
    <row r="26" spans="1:61" ht="15.75" thickBot="1" x14ac:dyDescent="0.3">
      <c r="A26" s="39"/>
      <c r="B26" s="37" t="s">
        <v>12</v>
      </c>
      <c r="C26" s="38">
        <v>1.38E-2</v>
      </c>
      <c r="D26" s="38">
        <v>0.04</v>
      </c>
      <c r="E26" s="41" t="str">
        <f>IF(OR(F26="=",F26="≈",F26="—"),"",IF(F26&gt;0,"",IF(F26&lt;0,"","")))</f>
        <v></v>
      </c>
      <c r="F26" s="23">
        <f t="shared" si="0"/>
        <v>-0.65500000000000003</v>
      </c>
      <c r="G26" s="38">
        <v>6.59E-2</v>
      </c>
      <c r="H26" s="6"/>
      <c r="I26" s="6">
        <f t="shared" si="2"/>
        <v>6.59E-2</v>
      </c>
      <c r="J26" s="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38">
        <v>4.0038</v>
      </c>
      <c r="AA26" s="38"/>
      <c r="AB26" s="38">
        <v>4.9399999999999999E-2</v>
      </c>
      <c r="AC26" s="38">
        <v>4.4999999999999998E-2</v>
      </c>
      <c r="AD26" s="38">
        <v>5.9849999999999999E-3</v>
      </c>
      <c r="AE26" s="38">
        <v>4.7100000000000003E-2</v>
      </c>
      <c r="AF26" s="38">
        <v>0.08</v>
      </c>
      <c r="AG26" s="38">
        <v>0.3</v>
      </c>
      <c r="AH26" s="38">
        <v>4.1000000000000002E-2</v>
      </c>
      <c r="AI26" s="38">
        <v>1.6E-2</v>
      </c>
      <c r="AJ26" s="38">
        <v>8.6E-3</v>
      </c>
      <c r="AK26" s="38">
        <v>1.67E-2</v>
      </c>
      <c r="AL26" s="38"/>
      <c r="AM26" s="38">
        <v>1.7999999999999999E-2</v>
      </c>
      <c r="AN26" s="38">
        <v>5.0000000000000001E-3</v>
      </c>
      <c r="AO26" s="38">
        <v>1.7000000000000001E-2</v>
      </c>
      <c r="AP26" s="38">
        <v>2.02</v>
      </c>
      <c r="AQ26" s="38">
        <v>0.01</v>
      </c>
      <c r="AR26" s="38">
        <v>0.01</v>
      </c>
      <c r="AS26" s="38">
        <v>9.2800000000000001E-3</v>
      </c>
      <c r="AT26" s="38">
        <v>3.4000000000000002E-2</v>
      </c>
      <c r="AU26" s="38">
        <v>5.8999999999999999E-3</v>
      </c>
      <c r="AV26" s="38">
        <v>9.4000000000000004E-3</v>
      </c>
      <c r="AW26" s="38">
        <v>3.0089999999999999E-2</v>
      </c>
      <c r="AX26" s="38">
        <v>4.6690000000000002E-2</v>
      </c>
      <c r="AY26" s="38">
        <v>1.197E-2</v>
      </c>
      <c r="AZ26" s="38">
        <v>2.12E-2</v>
      </c>
      <c r="BA26" s="38">
        <v>1.9E-2</v>
      </c>
      <c r="BB26" s="38">
        <v>6.0000000000000001E-3</v>
      </c>
      <c r="BC26" s="38">
        <v>1.0999999999999999E-2</v>
      </c>
      <c r="BD26" s="38">
        <v>1.6E-2</v>
      </c>
      <c r="BE26" s="38">
        <v>8.0000000000000002E-3</v>
      </c>
      <c r="BF26" s="38">
        <v>1.2800000000000001E-2</v>
      </c>
      <c r="BG26" s="38">
        <v>1.21E-2</v>
      </c>
      <c r="BH26" s="38">
        <v>0.04</v>
      </c>
      <c r="BI26" s="38">
        <v>1.38E-2</v>
      </c>
    </row>
    <row r="27" spans="1:61" ht="15.75" thickBot="1" x14ac:dyDescent="0.3">
      <c r="A27" s="24" t="s">
        <v>15</v>
      </c>
      <c r="B27" s="32"/>
      <c r="C27" s="26"/>
      <c r="D27" s="26"/>
      <c r="E27" s="27" t="str">
        <f t="shared" si="1"/>
        <v/>
      </c>
      <c r="F27" s="43" t="str">
        <f t="shared" si="0"/>
        <v>—</v>
      </c>
      <c r="G27" s="26">
        <v>0</v>
      </c>
      <c r="H27" s="6"/>
      <c r="I27" s="6">
        <f t="shared" si="2"/>
        <v>0</v>
      </c>
      <c r="J27" s="7"/>
      <c r="K27" s="10">
        <v>0</v>
      </c>
      <c r="L27" s="10">
        <v>0</v>
      </c>
      <c r="M27" s="10">
        <v>0</v>
      </c>
      <c r="N27" s="10">
        <v>0</v>
      </c>
      <c r="O27" s="10">
        <v>3.4571000000000001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/>
      <c r="X27" s="10"/>
      <c r="Y27" s="10">
        <v>1.78</v>
      </c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</row>
    <row r="28" spans="1:61" ht="15.75" thickBot="1" x14ac:dyDescent="0.3">
      <c r="A28" s="24"/>
      <c r="B28" s="32" t="s">
        <v>11</v>
      </c>
      <c r="C28" s="30"/>
      <c r="D28" s="30"/>
      <c r="E28" s="27" t="str">
        <f t="shared" si="1"/>
        <v/>
      </c>
      <c r="F28" s="44" t="str">
        <f t="shared" si="0"/>
        <v>—</v>
      </c>
      <c r="G28" s="30">
        <v>0</v>
      </c>
      <c r="H28" s="6"/>
      <c r="I28" s="6">
        <f t="shared" si="2"/>
        <v>0</v>
      </c>
      <c r="J28" s="7"/>
      <c r="K28" s="10"/>
      <c r="L28" s="10"/>
      <c r="M28" s="10"/>
      <c r="N28" s="10"/>
      <c r="O28" s="10">
        <v>3.4571000000000001</v>
      </c>
      <c r="P28" s="10"/>
      <c r="Q28" s="10"/>
      <c r="R28" s="10"/>
      <c r="S28" s="10"/>
      <c r="T28" s="10"/>
      <c r="U28" s="10"/>
      <c r="V28" s="10"/>
      <c r="W28" s="10"/>
      <c r="X28" s="10"/>
      <c r="Y28" s="10">
        <v>1.78</v>
      </c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  <c r="BD28" s="30"/>
      <c r="BE28" s="30"/>
      <c r="BF28" s="30"/>
      <c r="BG28" s="30"/>
      <c r="BH28" s="30"/>
      <c r="BI28" s="30"/>
    </row>
    <row r="29" spans="1:61" ht="15.75" thickBot="1" x14ac:dyDescent="0.3">
      <c r="A29" s="34" t="s">
        <v>8</v>
      </c>
      <c r="B29" s="35"/>
      <c r="C29" s="36">
        <v>6.8999999999999997E-4</v>
      </c>
      <c r="D29" s="36"/>
      <c r="E29" s="41" t="str">
        <f t="shared" si="1"/>
        <v/>
      </c>
      <c r="F29" s="19" t="str">
        <f t="shared" si="0"/>
        <v>—</v>
      </c>
      <c r="G29" s="36">
        <v>6.3899999999999998E-3</v>
      </c>
      <c r="H29" s="6"/>
      <c r="I29" s="6">
        <f t="shared" si="2"/>
        <v>6.3899999999999998E-3</v>
      </c>
      <c r="K29" s="11">
        <v>5.4180000000000001E-3</v>
      </c>
      <c r="L29" s="11">
        <v>1.0800000000000001E-2</v>
      </c>
      <c r="M29" s="11">
        <v>2.1600000000000001E-2</v>
      </c>
      <c r="N29" s="11">
        <v>1.0800000000000001E-2</v>
      </c>
      <c r="O29" s="11">
        <v>1.0800000000000001E-2</v>
      </c>
      <c r="P29" s="11">
        <v>5.4000000000000003E-3</v>
      </c>
      <c r="Q29" s="11">
        <v>2.2800000000000001E-2</v>
      </c>
      <c r="R29" s="11">
        <v>5.6579999999999998E-3</v>
      </c>
      <c r="S29" s="11">
        <v>1.6199999999999999E-2</v>
      </c>
      <c r="T29" s="11">
        <v>1.6E-2</v>
      </c>
      <c r="U29" s="11">
        <v>6.01</v>
      </c>
      <c r="V29" s="11">
        <v>0</v>
      </c>
      <c r="W29" s="11">
        <v>1.6199999999999999E-2</v>
      </c>
      <c r="X29" s="11">
        <v>0.01</v>
      </c>
      <c r="Y29" s="11"/>
      <c r="Z29" s="36">
        <v>1.4E-2</v>
      </c>
      <c r="AA29" s="36">
        <v>1.0800000000000001E-2</v>
      </c>
      <c r="AB29" s="36">
        <v>1.87</v>
      </c>
      <c r="AC29" s="36">
        <v>1.782</v>
      </c>
      <c r="AD29" s="36">
        <v>1.0999999999999999E-2</v>
      </c>
      <c r="AE29" s="36">
        <v>1.6199999999999999E-3</v>
      </c>
      <c r="AF29" s="36">
        <v>5.4000000000000003E-3</v>
      </c>
      <c r="AG29" s="36">
        <v>1.0999999999999999E-2</v>
      </c>
      <c r="AH29" s="36"/>
      <c r="AI29" s="36">
        <v>0.02</v>
      </c>
      <c r="AJ29" s="36">
        <v>2.1899999999999999E-2</v>
      </c>
      <c r="AK29" s="36">
        <v>0.01</v>
      </c>
      <c r="AL29" s="36">
        <v>1.6199999999999999E-2</v>
      </c>
      <c r="AM29" s="36"/>
      <c r="AN29" s="36">
        <v>0.01</v>
      </c>
      <c r="AO29" s="36">
        <v>0.01</v>
      </c>
      <c r="AP29" s="36">
        <v>0.01</v>
      </c>
      <c r="AQ29" s="36">
        <v>0.01</v>
      </c>
      <c r="AR29" s="36">
        <v>0.01</v>
      </c>
      <c r="AS29" s="36">
        <v>4.0000000000000001E-3</v>
      </c>
      <c r="AT29" s="36">
        <v>5.8999999999999999E-3</v>
      </c>
      <c r="AU29" s="36">
        <v>2.1000000000000001E-2</v>
      </c>
      <c r="AV29" s="36">
        <v>0.02</v>
      </c>
      <c r="AW29" s="36">
        <v>1.1195999999999999E-2</v>
      </c>
      <c r="AX29" s="36">
        <v>1.6199999999999999E-2</v>
      </c>
      <c r="AY29" s="36">
        <v>2.0879999999999999E-2</v>
      </c>
      <c r="AZ29" s="36">
        <v>5.4180000000000001E-3</v>
      </c>
      <c r="BA29" s="36">
        <v>2.7E-2</v>
      </c>
      <c r="BB29" s="36">
        <v>1.0900000000000001E-4</v>
      </c>
      <c r="BC29" s="36">
        <v>0.01</v>
      </c>
      <c r="BD29" s="36">
        <v>0.02</v>
      </c>
      <c r="BE29" s="36">
        <v>5.0000000000000001E-3</v>
      </c>
      <c r="BF29" s="36">
        <v>0.01</v>
      </c>
      <c r="BG29" s="36">
        <v>5.7000000000000002E-3</v>
      </c>
      <c r="BH29" s="36"/>
      <c r="BI29" s="36">
        <v>6.8999999999999997E-4</v>
      </c>
    </row>
    <row r="30" spans="1:61" ht="15.75" thickBot="1" x14ac:dyDescent="0.3">
      <c r="A30" s="39"/>
      <c r="B30" s="39" t="s">
        <v>41</v>
      </c>
      <c r="C30" s="38"/>
      <c r="D30" s="38"/>
      <c r="E30" s="41" t="str">
        <f t="shared" si="1"/>
        <v/>
      </c>
      <c r="F30" s="23" t="str">
        <f t="shared" si="0"/>
        <v>—</v>
      </c>
      <c r="G30" s="38">
        <v>5.0000000000000001E-3</v>
      </c>
      <c r="H30" s="6"/>
      <c r="I30" s="6">
        <f t="shared" si="2"/>
        <v>5.0000000000000001E-3</v>
      </c>
      <c r="K30" s="12">
        <v>5.4180000000000001E-3</v>
      </c>
      <c r="L30" s="12">
        <v>1.0800000000000001E-2</v>
      </c>
      <c r="M30" s="12">
        <v>2.1600000000000001E-2</v>
      </c>
      <c r="N30" s="12">
        <v>1.0800000000000001E-2</v>
      </c>
      <c r="O30" s="12">
        <v>1.0800000000000001E-2</v>
      </c>
      <c r="P30" s="12">
        <v>5.4000000000000003E-3</v>
      </c>
      <c r="Q30" s="12">
        <v>1.0800000000000001E-2</v>
      </c>
      <c r="R30" s="12">
        <v>5.4180000000000001E-3</v>
      </c>
      <c r="S30" s="12">
        <v>1.6199999999999999E-2</v>
      </c>
      <c r="T30" s="12">
        <v>1.6E-2</v>
      </c>
      <c r="U30" s="12">
        <v>0.01</v>
      </c>
      <c r="V30" s="12"/>
      <c r="W30" s="12">
        <v>1.6199999999999999E-2</v>
      </c>
      <c r="X30" s="12">
        <v>0.01</v>
      </c>
      <c r="Y30" s="12"/>
      <c r="Z30" s="38">
        <v>0.01</v>
      </c>
      <c r="AA30" s="38">
        <v>1.0800000000000001E-2</v>
      </c>
      <c r="AB30" s="38"/>
      <c r="AC30" s="38"/>
      <c r="AD30" s="38">
        <v>0.01</v>
      </c>
      <c r="AE30" s="38"/>
      <c r="AF30" s="38">
        <v>5.4000000000000003E-3</v>
      </c>
      <c r="AG30" s="38">
        <v>1.0999999999999999E-2</v>
      </c>
      <c r="AH30" s="38"/>
      <c r="AI30" s="38">
        <v>1.6E-2</v>
      </c>
      <c r="AJ30" s="38">
        <v>2.1600000000000001E-2</v>
      </c>
      <c r="AK30" s="38"/>
      <c r="AL30" s="38">
        <v>1.6199999999999999E-2</v>
      </c>
      <c r="AM30" s="38"/>
      <c r="AN30" s="38">
        <v>0.01</v>
      </c>
      <c r="AO30" s="38">
        <v>0.01</v>
      </c>
      <c r="AP30" s="38">
        <v>0.01</v>
      </c>
      <c r="AQ30" s="38">
        <v>0.01</v>
      </c>
      <c r="AR30" s="38">
        <v>0.01</v>
      </c>
      <c r="AS30" s="38"/>
      <c r="AT30" s="38">
        <v>5.4000000000000003E-3</v>
      </c>
      <c r="AU30" s="38">
        <v>2.1000000000000001E-2</v>
      </c>
      <c r="AV30" s="38">
        <v>2.1672E-2</v>
      </c>
      <c r="AW30" s="38">
        <v>1.0800000000000001E-2</v>
      </c>
      <c r="AX30" s="38">
        <v>1.6199999999999999E-2</v>
      </c>
      <c r="AY30" s="38">
        <v>1.0840000000000001E-2</v>
      </c>
      <c r="AZ30" s="38">
        <v>5.4180000000000001E-3</v>
      </c>
      <c r="BA30" s="38">
        <v>2.7E-2</v>
      </c>
      <c r="BB30" s="38"/>
      <c r="BC30" s="38">
        <v>0.01</v>
      </c>
      <c r="BD30" s="38">
        <v>1.6E-2</v>
      </c>
      <c r="BE30" s="38">
        <v>5.0000000000000001E-3</v>
      </c>
      <c r="BF30" s="38">
        <v>0.01</v>
      </c>
      <c r="BG30" s="38">
        <v>5.0000000000000001E-3</v>
      </c>
      <c r="BH30" s="38"/>
      <c r="BI30" s="38"/>
    </row>
    <row r="31" spans="1:61" ht="15.75" thickBot="1" x14ac:dyDescent="0.3">
      <c r="A31" s="39"/>
      <c r="B31" s="37" t="s">
        <v>11</v>
      </c>
      <c r="C31" s="38"/>
      <c r="D31" s="38"/>
      <c r="E31" s="41" t="str">
        <f t="shared" si="1"/>
        <v/>
      </c>
      <c r="F31" s="23" t="str">
        <f t="shared" si="0"/>
        <v>—</v>
      </c>
      <c r="G31" s="38">
        <v>0</v>
      </c>
      <c r="H31" s="6"/>
      <c r="I31" s="6">
        <f t="shared" si="2"/>
        <v>0</v>
      </c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38"/>
      <c r="AA31" s="38"/>
      <c r="AB31" s="38">
        <v>1.87</v>
      </c>
      <c r="AC31" s="38">
        <v>1.782</v>
      </c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8"/>
    </row>
    <row r="32" spans="1:61" ht="15.75" thickBot="1" x14ac:dyDescent="0.3">
      <c r="A32" s="39"/>
      <c r="B32" s="37" t="s">
        <v>14</v>
      </c>
      <c r="C32" s="38"/>
      <c r="D32" s="38"/>
      <c r="E32" s="41" t="str">
        <f>IF(OR(F32="=",F32="≈",F32="—"),"",IF(F32&gt;0,"",IF(F32&lt;0,"","")))</f>
        <v/>
      </c>
      <c r="F32" s="23" t="str">
        <f t="shared" si="0"/>
        <v>—</v>
      </c>
      <c r="G32" s="38">
        <v>0</v>
      </c>
      <c r="H32" s="6"/>
      <c r="I32" s="6">
        <f t="shared" si="2"/>
        <v>0</v>
      </c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>
        <v>6</v>
      </c>
      <c r="V32" s="12"/>
      <c r="W32" s="12"/>
      <c r="X32" s="12"/>
      <c r="Y32" s="12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>
        <v>9.9600000000000001E-3</v>
      </c>
      <c r="AZ32" s="38"/>
      <c r="BA32" s="38"/>
      <c r="BB32" s="38"/>
      <c r="BC32" s="38"/>
      <c r="BD32" s="38"/>
      <c r="BE32" s="38"/>
      <c r="BF32" s="38"/>
      <c r="BG32" s="38"/>
      <c r="BH32" s="38"/>
      <c r="BI32" s="38"/>
    </row>
    <row r="33" spans="1:61" ht="15.75" thickBot="1" x14ac:dyDescent="0.3">
      <c r="A33" s="39"/>
      <c r="B33" s="37" t="s">
        <v>12</v>
      </c>
      <c r="C33" s="38">
        <v>6.8999999999999997E-4</v>
      </c>
      <c r="D33" s="38"/>
      <c r="E33" s="41" t="str">
        <f t="shared" si="1"/>
        <v/>
      </c>
      <c r="F33" s="23" t="str">
        <f t="shared" si="0"/>
        <v>—</v>
      </c>
      <c r="G33" s="38">
        <v>1.0499999999999999E-3</v>
      </c>
      <c r="H33" s="6"/>
      <c r="I33" s="6">
        <f t="shared" si="2"/>
        <v>1.0499999999999999E-3</v>
      </c>
      <c r="K33" s="12"/>
      <c r="L33" s="12"/>
      <c r="M33" s="12"/>
      <c r="N33" s="12"/>
      <c r="O33" s="12"/>
      <c r="P33" s="12"/>
      <c r="Q33" s="12">
        <v>1.2E-2</v>
      </c>
      <c r="R33" s="12">
        <v>2.4000000000000001E-4</v>
      </c>
      <c r="S33" s="12"/>
      <c r="T33" s="12"/>
      <c r="U33" s="12"/>
      <c r="V33" s="12"/>
      <c r="W33" s="12"/>
      <c r="X33" s="12"/>
      <c r="Y33" s="12"/>
      <c r="Z33" s="38">
        <v>3.2399999999999998E-3</v>
      </c>
      <c r="AA33" s="38"/>
      <c r="AB33" s="38"/>
      <c r="AC33" s="38"/>
      <c r="AD33" s="38">
        <v>1.73E-4</v>
      </c>
      <c r="AE33" s="38">
        <v>1.6199999999999999E-3</v>
      </c>
      <c r="AF33" s="38"/>
      <c r="AG33" s="38"/>
      <c r="AH33" s="38"/>
      <c r="AI33" s="38">
        <v>8.6000000000000003E-5</v>
      </c>
      <c r="AJ33" s="38">
        <v>2.4000000000000001E-4</v>
      </c>
      <c r="AK33" s="38">
        <v>0.01</v>
      </c>
      <c r="AL33" s="38"/>
      <c r="AM33" s="38"/>
      <c r="AN33" s="38">
        <v>5.7000000000000003E-5</v>
      </c>
      <c r="AO33" s="38"/>
      <c r="AP33" s="38"/>
      <c r="AQ33" s="38"/>
      <c r="AR33" s="38"/>
      <c r="AS33" s="38">
        <v>4.0000000000000001E-3</v>
      </c>
      <c r="AT33" s="38">
        <v>5.2099999999999998E-4</v>
      </c>
      <c r="AU33" s="38"/>
      <c r="AV33" s="38">
        <v>1.12E-4</v>
      </c>
      <c r="AW33" s="38">
        <v>3.6000000000000002E-4</v>
      </c>
      <c r="AX33" s="38"/>
      <c r="AY33" s="38">
        <v>8.3999999999999995E-5</v>
      </c>
      <c r="AZ33" s="38"/>
      <c r="BA33" s="38"/>
      <c r="BB33" s="38">
        <v>1.0900000000000001E-4</v>
      </c>
      <c r="BC33" s="38"/>
      <c r="BD33" s="38">
        <v>4.6000000000000001E-4</v>
      </c>
      <c r="BE33" s="38"/>
      <c r="BF33" s="38"/>
      <c r="BG33" s="38">
        <v>3.6000000000000002E-4</v>
      </c>
      <c r="BH33" s="38"/>
      <c r="BI33" s="38">
        <v>6.8999999999999997E-4</v>
      </c>
    </row>
    <row r="34" spans="1:61" ht="15.75" thickBot="1" x14ac:dyDescent="0.3">
      <c r="A34" s="24" t="s">
        <v>12</v>
      </c>
      <c r="B34" s="32"/>
      <c r="C34" s="26">
        <v>2.1560000000000001</v>
      </c>
      <c r="D34" s="26">
        <v>2.83</v>
      </c>
      <c r="E34" s="27" t="str">
        <f t="shared" si="1"/>
        <v/>
      </c>
      <c r="F34" s="43" t="s">
        <v>104</v>
      </c>
      <c r="G34" s="26">
        <v>5.0376000000000003</v>
      </c>
      <c r="I34" s="6">
        <f t="shared" si="2"/>
        <v>5.0376000000000003</v>
      </c>
      <c r="K34" s="12"/>
      <c r="L34" s="12"/>
      <c r="M34" s="12">
        <v>2.0099999999999998</v>
      </c>
      <c r="N34" s="12"/>
      <c r="O34" s="12"/>
      <c r="P34" s="12"/>
      <c r="Q34" s="12">
        <v>1.77</v>
      </c>
      <c r="R34" s="12">
        <v>1.2999999999999999E-2</v>
      </c>
      <c r="S34" s="12">
        <v>4.9400000000000004</v>
      </c>
      <c r="T34" s="12">
        <v>1.21</v>
      </c>
      <c r="U34" s="12"/>
      <c r="V34" s="12"/>
      <c r="W34" s="12">
        <v>8.1000000000000003E-2</v>
      </c>
      <c r="X34" s="12">
        <v>2</v>
      </c>
      <c r="Y34" s="12">
        <v>3.0000000000000001E-3</v>
      </c>
      <c r="Z34" s="26">
        <v>1.103</v>
      </c>
      <c r="AA34" s="26">
        <v>2.8000000000000001E-2</v>
      </c>
      <c r="AB34" s="26">
        <v>3.143E-3</v>
      </c>
      <c r="AC34" s="26">
        <v>1.714</v>
      </c>
      <c r="AD34" s="26">
        <v>3.9489999999999998</v>
      </c>
      <c r="AE34" s="26">
        <v>0.98799999999999999</v>
      </c>
      <c r="AF34" s="26">
        <v>0.97199999999999998</v>
      </c>
      <c r="AG34" s="26">
        <v>8.5999999999999993E-2</v>
      </c>
      <c r="AH34" s="26">
        <v>5.8929999999999998E-3</v>
      </c>
      <c r="AI34" s="26">
        <v>0.104</v>
      </c>
      <c r="AJ34" s="26">
        <v>5.2999999999999999E-2</v>
      </c>
      <c r="AK34" s="26">
        <v>2.1480000000000001</v>
      </c>
      <c r="AL34" s="26">
        <v>4.1630000000000003</v>
      </c>
      <c r="AM34" s="26">
        <v>2.222E-2</v>
      </c>
      <c r="AN34" s="26">
        <v>4.29</v>
      </c>
      <c r="AO34" s="26">
        <v>6.3819999999999997</v>
      </c>
      <c r="AP34" s="26">
        <v>0.01</v>
      </c>
      <c r="AQ34" s="26">
        <v>1.02</v>
      </c>
      <c r="AR34" s="26">
        <v>10.234999999999999</v>
      </c>
      <c r="AS34" s="26">
        <v>4.0970000000000004</v>
      </c>
      <c r="AT34" s="26">
        <v>2.2000000000000001E-3</v>
      </c>
      <c r="AU34" s="26">
        <v>7.2999999999999995E-2</v>
      </c>
      <c r="AV34" s="26">
        <v>2.149</v>
      </c>
      <c r="AW34" s="26">
        <v>4.2523</v>
      </c>
      <c r="AX34" s="26">
        <v>5.0507000000000003E-2</v>
      </c>
      <c r="AY34" s="26">
        <v>4.1500000000000004</v>
      </c>
      <c r="AZ34" s="26">
        <v>4.2460000000000004</v>
      </c>
      <c r="BA34" s="26">
        <v>7.4180000000000001</v>
      </c>
      <c r="BB34" s="26">
        <v>3.1539999999999999</v>
      </c>
      <c r="BC34" s="26">
        <v>1.0269999999999999</v>
      </c>
      <c r="BD34" s="26">
        <v>0.89300000000000002</v>
      </c>
      <c r="BE34" s="26">
        <v>4.3570000000000002</v>
      </c>
      <c r="BF34" s="26">
        <v>1.0229999999999999</v>
      </c>
      <c r="BG34" s="26">
        <v>5.16E-2</v>
      </c>
      <c r="BH34" s="26">
        <v>2.83</v>
      </c>
      <c r="BI34" s="26">
        <v>2.1560000000000001</v>
      </c>
    </row>
    <row r="35" spans="1:61" ht="15.75" thickBot="1" x14ac:dyDescent="0.3">
      <c r="A35" s="45" t="s">
        <v>20</v>
      </c>
      <c r="B35" s="25"/>
      <c r="C35" s="30">
        <v>2.17</v>
      </c>
      <c r="D35" s="30">
        <v>2.9</v>
      </c>
      <c r="E35" s="27" t="str">
        <f t="shared" si="1"/>
        <v/>
      </c>
      <c r="F35" s="43" t="s">
        <v>104</v>
      </c>
      <c r="G35" s="26">
        <v>5.16</v>
      </c>
      <c r="I35" s="6">
        <f t="shared" si="2"/>
        <v>5.16</v>
      </c>
      <c r="K35" s="10">
        <v>1.2702E-2</v>
      </c>
      <c r="L35" s="10">
        <v>2.035695</v>
      </c>
      <c r="M35" s="10">
        <v>11.40146</v>
      </c>
      <c r="N35" s="10">
        <v>1.8080179999999999</v>
      </c>
      <c r="O35" s="10">
        <v>13.510642000000001</v>
      </c>
      <c r="P35" s="10">
        <v>25.512350000000001</v>
      </c>
      <c r="Q35" s="10">
        <v>3.6273</v>
      </c>
      <c r="R35" s="10">
        <v>43.068368999999997</v>
      </c>
      <c r="S35" s="10">
        <v>44.395579999999995</v>
      </c>
      <c r="T35" s="10">
        <v>21.276683999999999</v>
      </c>
      <c r="U35" s="10">
        <v>7.7915000000000001</v>
      </c>
      <c r="V35" s="10">
        <v>13.633700000000001</v>
      </c>
      <c r="W35" s="10">
        <v>0.11</v>
      </c>
      <c r="X35" s="10">
        <v>6.95</v>
      </c>
      <c r="Y35" s="10">
        <v>11.1</v>
      </c>
      <c r="Z35" s="30">
        <v>14.797000000000001</v>
      </c>
      <c r="AA35" s="30">
        <v>13.28</v>
      </c>
      <c r="AB35" s="30">
        <v>29.35</v>
      </c>
      <c r="AC35" s="30">
        <v>5.56</v>
      </c>
      <c r="AD35" s="30">
        <v>9</v>
      </c>
      <c r="AE35" s="30">
        <v>16.927</v>
      </c>
      <c r="AF35" s="30">
        <v>16.329999999999998</v>
      </c>
      <c r="AG35" s="30">
        <v>2.13</v>
      </c>
      <c r="AH35" s="30">
        <v>4.05</v>
      </c>
      <c r="AI35" s="30">
        <v>4.1500000000000004</v>
      </c>
      <c r="AJ35" s="30">
        <v>2.1</v>
      </c>
      <c r="AK35" s="30">
        <v>5.97</v>
      </c>
      <c r="AL35" s="30">
        <v>6.21</v>
      </c>
      <c r="AM35" s="30">
        <v>4.0599999999999996</v>
      </c>
      <c r="AN35" s="30">
        <v>19.53</v>
      </c>
      <c r="AO35" s="30">
        <v>17.100000000000001</v>
      </c>
      <c r="AP35" s="30">
        <v>11.23</v>
      </c>
      <c r="AQ35" s="30">
        <v>8.1</v>
      </c>
      <c r="AR35" s="30">
        <v>28.41</v>
      </c>
      <c r="AS35" s="30">
        <v>11.32</v>
      </c>
      <c r="AT35" s="30">
        <v>15.72</v>
      </c>
      <c r="AU35" s="30">
        <v>4.0999999999999996</v>
      </c>
      <c r="AV35" s="30">
        <v>4.2300000000000004</v>
      </c>
      <c r="AW35" s="30">
        <v>9.9930000000000003</v>
      </c>
      <c r="AX35" s="30">
        <v>1.68</v>
      </c>
      <c r="AY35" s="30">
        <v>8.3000000000000007</v>
      </c>
      <c r="AZ35" s="30">
        <v>11.18</v>
      </c>
      <c r="BA35" s="30">
        <v>11.68</v>
      </c>
      <c r="BB35" s="30">
        <v>7.59</v>
      </c>
      <c r="BC35" s="30">
        <v>8.11</v>
      </c>
      <c r="BD35" s="30">
        <v>2.95</v>
      </c>
      <c r="BE35" s="30">
        <v>6.38</v>
      </c>
      <c r="BF35" s="30">
        <v>1.06</v>
      </c>
      <c r="BG35" s="30">
        <v>0.09</v>
      </c>
      <c r="BH35" s="30">
        <v>2.9</v>
      </c>
      <c r="BI35" s="30">
        <v>2.17</v>
      </c>
    </row>
  </sheetData>
  <sortState ref="A12:R16">
    <sortCondition descending="1" ref="G12:G16"/>
  </sortState>
  <mergeCells count="1">
    <mergeCell ref="E1:F1"/>
  </mergeCells>
  <conditionalFormatting sqref="E29">
    <cfRule type="containsText" dxfId="49" priority="49" operator="containsText" text="">
      <formula>NOT(ISERROR(SEARCH("",E29)))</formula>
    </cfRule>
    <cfRule type="containsText" dxfId="48" priority="50" operator="containsText" text="">
      <formula>NOT(ISERROR(SEARCH("",E29)))</formula>
    </cfRule>
  </conditionalFormatting>
  <conditionalFormatting sqref="E12">
    <cfRule type="containsText" dxfId="47" priority="47" operator="containsText" text="">
      <formula>NOT(ISERROR(SEARCH("",E12)))</formula>
    </cfRule>
    <cfRule type="containsText" dxfId="46" priority="48" operator="containsText" text="">
      <formula>NOT(ISERROR(SEARCH("",E12)))</formula>
    </cfRule>
  </conditionalFormatting>
  <conditionalFormatting sqref="E13">
    <cfRule type="containsText" dxfId="45" priority="45" operator="containsText" text="">
      <formula>NOT(ISERROR(SEARCH("",E13)))</formula>
    </cfRule>
    <cfRule type="containsText" dxfId="44" priority="46" operator="containsText" text="">
      <formula>NOT(ISERROR(SEARCH("",E13)))</formula>
    </cfRule>
  </conditionalFormatting>
  <conditionalFormatting sqref="E14:E16">
    <cfRule type="containsText" dxfId="43" priority="43" operator="containsText" text="">
      <formula>NOT(ISERROR(SEARCH("",E14)))</formula>
    </cfRule>
    <cfRule type="containsText" dxfId="42" priority="44" operator="containsText" text="">
      <formula>NOT(ISERROR(SEARCH("",E14)))</formula>
    </cfRule>
  </conditionalFormatting>
  <conditionalFormatting sqref="E18">
    <cfRule type="containsText" dxfId="41" priority="41" operator="containsText" text="">
      <formula>NOT(ISERROR(SEARCH("",E18)))</formula>
    </cfRule>
    <cfRule type="containsText" dxfId="40" priority="42" operator="containsText" text="">
      <formula>NOT(ISERROR(SEARCH("",E18)))</formula>
    </cfRule>
  </conditionalFormatting>
  <conditionalFormatting sqref="E3">
    <cfRule type="containsText" dxfId="39" priority="39" operator="containsText" text="">
      <formula>NOT(ISERROR(SEARCH("",E3)))</formula>
    </cfRule>
    <cfRule type="containsText" dxfId="38" priority="40" operator="containsText" text="">
      <formula>NOT(ISERROR(SEARCH("",E3)))</formula>
    </cfRule>
  </conditionalFormatting>
  <conditionalFormatting sqref="E5:E10">
    <cfRule type="containsText" dxfId="37" priority="37" operator="containsText" text="">
      <formula>NOT(ISERROR(SEARCH("",E5)))</formula>
    </cfRule>
    <cfRule type="containsText" dxfId="36" priority="38" operator="containsText" text="">
      <formula>NOT(ISERROR(SEARCH("",E5)))</formula>
    </cfRule>
  </conditionalFormatting>
  <conditionalFormatting sqref="E11">
    <cfRule type="containsText" dxfId="35" priority="35" operator="containsText" text="">
      <formula>NOT(ISERROR(SEARCH("",E11)))</formula>
    </cfRule>
    <cfRule type="containsText" dxfId="34" priority="36" operator="containsText" text="">
      <formula>NOT(ISERROR(SEARCH("",E11)))</formula>
    </cfRule>
  </conditionalFormatting>
  <conditionalFormatting sqref="E27:E28">
    <cfRule type="containsText" dxfId="33" priority="33" operator="containsText" text="">
      <formula>NOT(ISERROR(SEARCH("",E27)))</formula>
    </cfRule>
    <cfRule type="containsText" dxfId="32" priority="34" operator="containsText" text="">
      <formula>NOT(ISERROR(SEARCH("",E27)))</formula>
    </cfRule>
  </conditionalFormatting>
  <conditionalFormatting sqref="E30">
    <cfRule type="containsText" dxfId="31" priority="31" operator="containsText" text="">
      <formula>NOT(ISERROR(SEARCH("",E30)))</formula>
    </cfRule>
    <cfRule type="containsText" dxfId="30" priority="32" operator="containsText" text="">
      <formula>NOT(ISERROR(SEARCH("",E30)))</formula>
    </cfRule>
  </conditionalFormatting>
  <conditionalFormatting sqref="E32">
    <cfRule type="containsText" dxfId="29" priority="29" operator="containsText" text="">
      <formula>NOT(ISERROR(SEARCH("",E32)))</formula>
    </cfRule>
    <cfRule type="containsText" dxfId="28" priority="30" operator="containsText" text="">
      <formula>NOT(ISERROR(SEARCH("",E32)))</formula>
    </cfRule>
  </conditionalFormatting>
  <conditionalFormatting sqref="E33">
    <cfRule type="containsText" dxfId="27" priority="27" operator="containsText" text="">
      <formula>NOT(ISERROR(SEARCH("",E33)))</formula>
    </cfRule>
    <cfRule type="containsText" dxfId="26" priority="28" operator="containsText" text="">
      <formula>NOT(ISERROR(SEARCH("",E33)))</formula>
    </cfRule>
  </conditionalFormatting>
  <conditionalFormatting sqref="E20">
    <cfRule type="containsText" dxfId="25" priority="25" operator="containsText" text="">
      <formula>NOT(ISERROR(SEARCH("",E20)))</formula>
    </cfRule>
    <cfRule type="containsText" dxfId="24" priority="26" operator="containsText" text="">
      <formula>NOT(ISERROR(SEARCH("",E20)))</formula>
    </cfRule>
  </conditionalFormatting>
  <conditionalFormatting sqref="E21">
    <cfRule type="containsText" dxfId="23" priority="23" operator="containsText" text="">
      <formula>NOT(ISERROR(SEARCH("",E21)))</formula>
    </cfRule>
    <cfRule type="containsText" dxfId="22" priority="24" operator="containsText" text="">
      <formula>NOT(ISERROR(SEARCH("",E21)))</formula>
    </cfRule>
  </conditionalFormatting>
  <conditionalFormatting sqref="E23">
    <cfRule type="containsText" dxfId="21" priority="21" operator="containsText" text="">
      <formula>NOT(ISERROR(SEARCH("",E23)))</formula>
    </cfRule>
    <cfRule type="containsText" dxfId="20" priority="22" operator="containsText" text="">
      <formula>NOT(ISERROR(SEARCH("",E23)))</formula>
    </cfRule>
  </conditionalFormatting>
  <conditionalFormatting sqref="E24">
    <cfRule type="containsText" dxfId="19" priority="19" operator="containsText" text="">
      <formula>NOT(ISERROR(SEARCH("",E24)))</formula>
    </cfRule>
    <cfRule type="containsText" dxfId="18" priority="20" operator="containsText" text="">
      <formula>NOT(ISERROR(SEARCH("",E24)))</formula>
    </cfRule>
  </conditionalFormatting>
  <conditionalFormatting sqref="E26">
    <cfRule type="containsText" dxfId="17" priority="17" operator="containsText" text="">
      <formula>NOT(ISERROR(SEARCH("",E26)))</formula>
    </cfRule>
    <cfRule type="containsText" dxfId="16" priority="18" operator="containsText" text="">
      <formula>NOT(ISERROR(SEARCH("",E26)))</formula>
    </cfRule>
  </conditionalFormatting>
  <conditionalFormatting sqref="E4">
    <cfRule type="containsText" dxfId="15" priority="15" operator="containsText" text="">
      <formula>NOT(ISERROR(SEARCH("",E4)))</formula>
    </cfRule>
    <cfRule type="containsText" dxfId="14" priority="16" operator="containsText" text="">
      <formula>NOT(ISERROR(SEARCH("",E4)))</formula>
    </cfRule>
  </conditionalFormatting>
  <conditionalFormatting sqref="E25">
    <cfRule type="containsText" dxfId="13" priority="13" operator="containsText" text="">
      <formula>NOT(ISERROR(SEARCH("",E25)))</formula>
    </cfRule>
    <cfRule type="containsText" dxfId="12" priority="14" operator="containsText" text="">
      <formula>NOT(ISERROR(SEARCH("",E25)))</formula>
    </cfRule>
  </conditionalFormatting>
  <conditionalFormatting sqref="E35">
    <cfRule type="containsText" dxfId="11" priority="11" operator="containsText" text="">
      <formula>NOT(ISERROR(SEARCH("",E35)))</formula>
    </cfRule>
    <cfRule type="containsText" dxfId="10" priority="12" operator="containsText" text="">
      <formula>NOT(ISERROR(SEARCH("",E35)))</formula>
    </cfRule>
  </conditionalFormatting>
  <conditionalFormatting sqref="E19">
    <cfRule type="containsText" dxfId="9" priority="9" operator="containsText" text="">
      <formula>NOT(ISERROR(SEARCH("",E19)))</formula>
    </cfRule>
    <cfRule type="containsText" dxfId="8" priority="10" operator="containsText" text="">
      <formula>NOT(ISERROR(SEARCH("",E19)))</formula>
    </cfRule>
  </conditionalFormatting>
  <conditionalFormatting sqref="E34">
    <cfRule type="containsText" dxfId="7" priority="7" operator="containsText" text="">
      <formula>NOT(ISERROR(SEARCH("",E34)))</formula>
    </cfRule>
    <cfRule type="containsText" dxfId="6" priority="8" operator="containsText" text="">
      <formula>NOT(ISERROR(SEARCH("",E34)))</formula>
    </cfRule>
  </conditionalFormatting>
  <conditionalFormatting sqref="E22">
    <cfRule type="containsText" dxfId="5" priority="5" operator="containsText" text="">
      <formula>NOT(ISERROR(SEARCH("",E22)))</formula>
    </cfRule>
    <cfRule type="containsText" dxfId="4" priority="6" operator="containsText" text="">
      <formula>NOT(ISERROR(SEARCH("",E22)))</formula>
    </cfRule>
  </conditionalFormatting>
  <conditionalFormatting sqref="E31">
    <cfRule type="containsText" dxfId="3" priority="3" operator="containsText" text="">
      <formula>NOT(ISERROR(SEARCH("",E31)))</formula>
    </cfRule>
    <cfRule type="containsText" dxfId="2" priority="4" operator="containsText" text="">
      <formula>NOT(ISERROR(SEARCH("",E31)))</formula>
    </cfRule>
  </conditionalFormatting>
  <conditionalFormatting sqref="E17">
    <cfRule type="containsText" dxfId="1" priority="1" operator="containsText" text="">
      <formula>NOT(ISERROR(SEARCH("",E17)))</formula>
    </cfRule>
    <cfRule type="containsText" dxfId="0" priority="2" operator="containsText" text="">
      <formula>NOT(ISERROR(SEARCH("",E17)))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abSelected="1" workbookViewId="0">
      <selection activeCell="B7" sqref="B7"/>
    </sheetView>
  </sheetViews>
  <sheetFormatPr defaultRowHeight="15" x14ac:dyDescent="0.25"/>
  <cols>
    <col min="1" max="1" width="12" customWidth="1"/>
    <col min="2" max="2" width="9" customWidth="1"/>
    <col min="3" max="3" width="10.42578125" customWidth="1"/>
  </cols>
  <sheetData>
    <row r="1" spans="1:10" x14ac:dyDescent="0.25">
      <c r="A1" s="48"/>
      <c r="B1" s="49">
        <v>2025</v>
      </c>
      <c r="C1" s="49">
        <v>2024</v>
      </c>
      <c r="H1" s="49">
        <v>2021</v>
      </c>
      <c r="I1" s="49">
        <v>2022</v>
      </c>
      <c r="J1" s="49">
        <v>2023</v>
      </c>
    </row>
    <row r="2" spans="1:10" x14ac:dyDescent="0.25">
      <c r="A2" s="57" t="s">
        <v>4</v>
      </c>
      <c r="B2" s="57"/>
      <c r="C2" s="57"/>
      <c r="H2" s="57"/>
      <c r="I2" s="57"/>
      <c r="J2" s="57"/>
    </row>
    <row r="3" spans="1:10" x14ac:dyDescent="0.25">
      <c r="A3" s="50" t="s">
        <v>55</v>
      </c>
      <c r="B3" s="51">
        <v>3167</v>
      </c>
      <c r="C3" s="51">
        <v>3184</v>
      </c>
      <c r="H3" s="51">
        <v>3539</v>
      </c>
      <c r="I3" s="51">
        <v>3316</v>
      </c>
      <c r="J3" s="51">
        <v>3191</v>
      </c>
    </row>
    <row r="4" spans="1:10" x14ac:dyDescent="0.25">
      <c r="A4" s="52" t="s">
        <v>56</v>
      </c>
      <c r="B4" s="53">
        <v>3088</v>
      </c>
      <c r="C4" s="53">
        <v>3211</v>
      </c>
      <c r="H4" s="53">
        <v>3362</v>
      </c>
      <c r="I4" s="53">
        <v>3090</v>
      </c>
      <c r="J4" s="53">
        <v>3067</v>
      </c>
    </row>
    <row r="5" spans="1:10" x14ac:dyDescent="0.25">
      <c r="A5" s="50" t="s">
        <v>57</v>
      </c>
      <c r="B5" s="51">
        <v>3004</v>
      </c>
      <c r="C5" s="51">
        <v>3138</v>
      </c>
      <c r="H5" s="51">
        <v>3403</v>
      </c>
      <c r="I5" s="51">
        <v>2789</v>
      </c>
      <c r="J5" s="51">
        <v>3007</v>
      </c>
    </row>
    <row r="6" spans="1:10" x14ac:dyDescent="0.25">
      <c r="A6" s="52" t="s">
        <v>58</v>
      </c>
      <c r="B6" s="53">
        <v>2797</v>
      </c>
      <c r="C6" s="53">
        <v>2932</v>
      </c>
      <c r="H6" s="53">
        <v>3359</v>
      </c>
      <c r="I6" s="53">
        <v>2615</v>
      </c>
      <c r="J6" s="53">
        <v>2972</v>
      </c>
    </row>
    <row r="9" spans="1:10" x14ac:dyDescent="0.25">
      <c r="B9" s="5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imp prop europ</vt:lpstr>
      <vt:lpstr>exp prop europ</vt:lpstr>
      <vt:lpstr>Production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2026-06-04T12:34:11Z</dcterms:modified>
</cp:coreProperties>
</file>