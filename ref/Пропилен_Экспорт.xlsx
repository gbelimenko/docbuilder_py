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DIN\departments\Хим-Курьер\Редакция_нефтехимии_оргсинтеза\Международные рынки\Propylene\Статистика\"/>
    </mc:Choice>
  </mc:AlternateContent>
  <bookViews>
    <workbookView xWindow="120" yWindow="135" windowWidth="20115" windowHeight="7935" activeTab="1"/>
  </bookViews>
  <sheets>
    <sheet name="Export" sheetId="1" r:id="rId1"/>
    <sheet name="Production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F37" i="1" l="1"/>
  <c r="E37" i="1" s="1"/>
  <c r="F38" i="1" l="1"/>
  <c r="E42" i="1"/>
  <c r="E19" i="1"/>
  <c r="F33" i="1" l="1"/>
  <c r="F36" i="1"/>
  <c r="F35" i="1"/>
  <c r="F34" i="1"/>
  <c r="F29" i="1"/>
  <c r="F30" i="1"/>
  <c r="F31" i="1"/>
  <c r="F32" i="1"/>
  <c r="F58" i="1" l="1"/>
  <c r="E58" i="1" s="1"/>
  <c r="F57" i="1"/>
  <c r="E57" i="1" s="1"/>
  <c r="F56" i="1"/>
  <c r="E56" i="1" s="1"/>
  <c r="E32" i="1" l="1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E36" i="1"/>
  <c r="E39" i="2" l="1"/>
  <c r="D39" i="2" s="1"/>
  <c r="E38" i="2"/>
  <c r="D38" i="2" s="1"/>
  <c r="E37" i="2"/>
  <c r="D37" i="2" s="1"/>
  <c r="E36" i="2"/>
  <c r="D36" i="2" s="1"/>
  <c r="E35" i="2"/>
  <c r="D35" i="2" s="1"/>
  <c r="E34" i="2"/>
  <c r="D34" i="2" s="1"/>
  <c r="E33" i="2"/>
  <c r="D33" i="2" s="1"/>
  <c r="E32" i="2"/>
  <c r="D32" i="2" s="1"/>
  <c r="E31" i="2"/>
  <c r="D31" i="2" s="1"/>
  <c r="E30" i="2"/>
  <c r="D30" i="2" s="1"/>
  <c r="E29" i="2"/>
  <c r="D29" i="2" s="1"/>
  <c r="E28" i="2"/>
  <c r="D28" i="2" s="1"/>
  <c r="E27" i="2"/>
  <c r="D27" i="2" s="1"/>
  <c r="E26" i="2"/>
  <c r="D26" i="2" s="1"/>
  <c r="E25" i="2"/>
  <c r="D25" i="2" s="1"/>
  <c r="K4" i="2" l="1"/>
  <c r="J4" i="2"/>
  <c r="I4" i="2"/>
  <c r="H4" i="2"/>
  <c r="G4" i="2"/>
  <c r="O4" i="2" l="1"/>
  <c r="J13" i="1"/>
  <c r="K13" i="1"/>
  <c r="L13" i="1"/>
  <c r="M13" i="1"/>
  <c r="N13" i="1"/>
  <c r="O13" i="1"/>
  <c r="I13" i="1"/>
  <c r="Q4" i="1" l="1"/>
  <c r="Q5" i="1"/>
  <c r="Q6" i="1"/>
  <c r="Q7" i="1"/>
  <c r="Q8" i="1"/>
  <c r="Q9" i="1"/>
  <c r="Q10" i="1"/>
  <c r="Q11" i="1"/>
  <c r="E31" i="1"/>
  <c r="E38" i="1" l="1"/>
  <c r="E35" i="1"/>
  <c r="E34" i="1"/>
  <c r="E30" i="1"/>
  <c r="E29" i="1"/>
  <c r="E4" i="1" l="1"/>
  <c r="E10" i="1" l="1"/>
  <c r="E9" i="1"/>
  <c r="E5" i="1" l="1"/>
</calcChain>
</file>

<file path=xl/sharedStrings.xml><?xml version="1.0" encoding="utf-8"?>
<sst xmlns="http://schemas.openxmlformats.org/spreadsheetml/2006/main" count="283" uniqueCount="130">
  <si>
    <t>поставщик</t>
  </si>
  <si>
    <t>импортер</t>
  </si>
  <si>
    <t>изм</t>
  </si>
  <si>
    <t>тыс. тонн</t>
  </si>
  <si>
    <t>—</t>
  </si>
  <si>
    <t>Данные агентства «Хим-Курьер».</t>
  </si>
  <si>
    <t>СИБУР-Кстово</t>
  </si>
  <si>
    <t>Нидерланды</t>
  </si>
  <si>
    <t>Польша</t>
  </si>
  <si>
    <t>Лукойл-ННОС</t>
  </si>
  <si>
    <t>Финляндия</t>
  </si>
  <si>
    <t>Ангарский завод полимеров</t>
  </si>
  <si>
    <t>Германия</t>
  </si>
  <si>
    <t>Китай</t>
  </si>
  <si>
    <t>Объемы экспорта пропилена из России</t>
  </si>
  <si>
    <t>по ВЭД</t>
  </si>
  <si>
    <t>Франция</t>
  </si>
  <si>
    <t>Company</t>
  </si>
  <si>
    <t>Country</t>
  </si>
  <si>
    <t>July 22</t>
  </si>
  <si>
    <t>change</t>
  </si>
  <si>
    <t>‘000 t</t>
  </si>
  <si>
    <t>Netherlands</t>
  </si>
  <si>
    <t>LUKOIL—Stavrolen</t>
  </si>
  <si>
    <t>Gazprom neftekhim Salavat</t>
  </si>
  <si>
    <t>Total</t>
  </si>
  <si>
    <t>Propylene Export from Russia</t>
  </si>
  <si>
    <t>LUKOIL—Nizhegorodnefteorgsintez</t>
  </si>
  <si>
    <t>Finland</t>
  </si>
  <si>
    <t>Poland</t>
  </si>
  <si>
    <t>Rosneft—Angarsk Polymer Plant</t>
  </si>
  <si>
    <t>Germany</t>
  </si>
  <si>
    <t>China</t>
  </si>
  <si>
    <t>SIBUR—Kstovo</t>
  </si>
  <si>
    <t>France</t>
  </si>
  <si>
    <t>June 22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</si>
  <si>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</si>
  <si>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</si>
  <si>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</si>
  <si>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</si>
  <si>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</si>
  <si>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</si>
  <si>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</si>
  <si>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</si>
  <si>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</si>
  <si>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</si>
  <si>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</si>
  <si>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</si>
  <si>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Производство пропилена в России</t>
  </si>
  <si>
    <t>Предприятие</t>
  </si>
  <si>
    <t>окт 21</t>
  </si>
  <si>
    <t>ноя 21</t>
  </si>
  <si>
    <t>дек 21</t>
  </si>
  <si>
    <t>янв 22</t>
  </si>
  <si>
    <t>Нижнекамскнефтехим</t>
  </si>
  <si>
    <t>Ставролен</t>
  </si>
  <si>
    <t>Лукойл-ННОС*</t>
  </si>
  <si>
    <t>сложности с данными</t>
  </si>
  <si>
    <t>Уфаоргсинтез</t>
  </si>
  <si>
    <t>ЗапСибНефтехим</t>
  </si>
  <si>
    <t>Омский каучук</t>
  </si>
  <si>
    <t>Полиом</t>
  </si>
  <si>
    <t>Томскнефтехим</t>
  </si>
  <si>
    <t>Газпром нефтехим Салават</t>
  </si>
  <si>
    <t>СИБУР-Химпром</t>
  </si>
  <si>
    <t>Новокуйбышевская НХК</t>
  </si>
  <si>
    <t>Казаньоргсинтез</t>
  </si>
  <si>
    <t>Nizhnekamskneftekhim</t>
  </si>
  <si>
    <t>Novokuybyshevsk Refinery</t>
  </si>
  <si>
    <t>total</t>
  </si>
  <si>
    <t>Russia’s propylene output by producer</t>
  </si>
  <si>
    <t>Ufaorgsintez</t>
  </si>
  <si>
    <t>SIBUR—ZapSibNeftekhim</t>
  </si>
  <si>
    <t>Omsky Kauchuk</t>
  </si>
  <si>
    <t>Poliom</t>
  </si>
  <si>
    <t>Tomskneftekhim</t>
  </si>
  <si>
    <t>SIBUR—Khimprom</t>
  </si>
  <si>
    <t>Kazanorgsintez</t>
  </si>
  <si>
    <t>Aug 22</t>
  </si>
  <si>
    <t>Sept 22</t>
  </si>
  <si>
    <t>Oct 22</t>
  </si>
  <si>
    <t>Nov 22</t>
  </si>
  <si>
    <t>Dec 22</t>
  </si>
  <si>
    <t>Jan-Dec 22</t>
  </si>
  <si>
    <t/>
  </si>
  <si>
    <t>Jan 23</t>
  </si>
  <si>
    <t>Feb 23</t>
  </si>
  <si>
    <t>Mar 23</t>
  </si>
  <si>
    <t>Jan-Mar 23</t>
  </si>
  <si>
    <t>Apr 23</t>
  </si>
  <si>
    <t>May 23</t>
  </si>
  <si>
    <t>June 23</t>
  </si>
  <si>
    <t>July 23</t>
  </si>
  <si>
    <t>Aug 23</t>
  </si>
  <si>
    <t>Sept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</si>
  <si>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</si>
  <si>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</si>
  <si>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</si>
  <si>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</si>
  <si>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</si>
  <si>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</si>
  <si>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</si>
  <si>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</si>
  <si>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June 24</t>
  </si>
  <si>
    <t>July 24</t>
  </si>
  <si>
    <t>Aug 24</t>
  </si>
  <si>
    <t>Sept 24</t>
  </si>
  <si>
    <t>Oct 24</t>
  </si>
  <si>
    <t>Jun 24</t>
  </si>
  <si>
    <t>Nov 24</t>
  </si>
  <si>
    <t>Dec 24</t>
  </si>
  <si>
    <t>Jan 25</t>
  </si>
  <si>
    <t>Feb 25</t>
  </si>
  <si>
    <t>Mar 25</t>
  </si>
  <si>
    <t>Apr 25</t>
  </si>
  <si>
    <t>May 25</t>
  </si>
  <si>
    <t>добавилась строка</t>
  </si>
  <si>
    <t>Turkiye</t>
  </si>
  <si>
    <t>Jan-Mar 25</t>
  </si>
  <si>
    <t>June 25</t>
  </si>
  <si>
    <t>July 25</t>
  </si>
  <si>
    <t>Aug 25</t>
  </si>
  <si>
    <t>Sept 25</t>
  </si>
  <si>
    <t>Oct 25</t>
  </si>
  <si>
    <t>Nov 25</t>
  </si>
  <si>
    <t>Dec 25</t>
  </si>
  <si>
    <t>Jan 26</t>
  </si>
  <si>
    <t>Feb 26</t>
  </si>
  <si>
    <t>Mar 26</t>
  </si>
  <si>
    <t>Jan-Mar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</si>
</sst>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₽_-;\-* #,##0.00\ _₽_-;_-* &quot;-&quot;??\ _₽_-;_-@_-"/>
    <numFmt numFmtId="165" formatCode="_(&quot;₽&quot;* #,##0.00_);_(&quot;₽&quot;* \(#,##0.00\);_(&quot;₽&quot;* &quot;-&quot;??_);_(@_)"/>
    <numFmt numFmtId="166" formatCode="0.000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u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9"/>
      <color rgb="FF943634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u/>
      <sz val="9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9"/>
      <color rgb="FF000000"/>
      <name val="Wingdings"/>
      <charset val="2"/>
    </font>
    <font>
      <b/>
      <sz val="9"/>
      <color rgb="FF000000"/>
      <name val="Arial"/>
      <family val="2"/>
      <charset val="204"/>
    </font>
    <font>
      <b/>
      <sz val="8"/>
      <color rgb="FF5F6368"/>
      <name val="Arial"/>
      <family val="2"/>
      <charset val="204"/>
    </font>
    <font>
      <sz val="10"/>
      <color theme="1"/>
      <name val="Arial"/>
      <family val="2"/>
      <charset val="204"/>
    </font>
    <font>
      <i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4"/>
      <color rgb="FF943634"/>
      <name val="Arial"/>
      <family val="2"/>
      <charset val="204"/>
    </font>
    <font>
      <i/>
      <u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sz val="9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b/>
      <sz val="10"/>
      <color rgb="FFC0504D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ECCBC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C919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1919A"/>
      </top>
      <bottom style="thin">
        <color rgb="FF41919A"/>
      </bottom>
      <diagonal/>
    </border>
  </borders>
  <cellStyleXfs count="13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16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/>
    <xf numFmtId="0" fontId="3" fillId="0" borderId="0" xfId="1"/>
    <xf numFmtId="0" fontId="2" fillId="0" borderId="0" xfId="1" applyFont="1" applyAlignment="1">
      <alignment vertical="center"/>
    </xf>
    <xf numFmtId="0" fontId="4" fillId="3" borderId="0" xfId="1" applyFont="1" applyFill="1" applyAlignment="1">
      <alignment vertical="center"/>
    </xf>
    <xf numFmtId="9" fontId="5" fillId="3" borderId="0" xfId="3" applyFont="1" applyFill="1" applyAlignment="1">
      <alignment vertical="center"/>
    </xf>
    <xf numFmtId="0" fontId="6" fillId="4" borderId="0" xfId="4" applyFont="1" applyFill="1" applyAlignment="1">
      <alignment vertical="center"/>
    </xf>
    <xf numFmtId="0" fontId="7" fillId="0" borderId="0" xfId="4" applyFont="1" applyAlignment="1">
      <alignment vertical="center"/>
    </xf>
    <xf numFmtId="0" fontId="5" fillId="3" borderId="0" xfId="4" applyFont="1" applyFill="1" applyAlignment="1">
      <alignment vertical="center"/>
    </xf>
    <xf numFmtId="166" fontId="3" fillId="0" borderId="0" xfId="1" applyNumberFormat="1"/>
    <xf numFmtId="0" fontId="10" fillId="3" borderId="0" xfId="1" applyFont="1" applyFill="1" applyAlignment="1">
      <alignment vertical="center"/>
    </xf>
    <xf numFmtId="0" fontId="11" fillId="5" borderId="0" xfId="1" applyFont="1" applyFill="1" applyAlignment="1">
      <alignment vertical="center"/>
    </xf>
    <xf numFmtId="14" fontId="11" fillId="5" borderId="0" xfId="1" applyNumberFormat="1" applyFont="1" applyFill="1" applyAlignment="1">
      <alignment horizontal="center" vertical="center"/>
    </xf>
    <xf numFmtId="17" fontId="11" fillId="5" borderId="0" xfId="1" applyNumberFormat="1" applyFont="1" applyFill="1" applyAlignment="1">
      <alignment horizontal="center" vertical="center"/>
    </xf>
    <xf numFmtId="0" fontId="6" fillId="6" borderId="0" xfId="1" applyFont="1" applyFill="1" applyAlignment="1">
      <alignment vertical="center"/>
    </xf>
    <xf numFmtId="166" fontId="6" fillId="6" borderId="0" xfId="1" applyNumberFormat="1" applyFont="1" applyFill="1" applyAlignment="1">
      <alignment horizontal="center" vertical="center"/>
    </xf>
    <xf numFmtId="166" fontId="6" fillId="4" borderId="0" xfId="3" applyNumberFormat="1" applyFont="1" applyFill="1" applyAlignment="1">
      <alignment horizontal="center" vertical="center"/>
    </xf>
    <xf numFmtId="9" fontId="6" fillId="4" borderId="0" xfId="3" applyNumberFormat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3" fillId="0" borderId="0" xfId="0" applyFont="1" applyAlignment="1">
      <alignment vertical="center"/>
    </xf>
    <xf numFmtId="0" fontId="14" fillId="7" borderId="0" xfId="0" applyFont="1" applyFill="1" applyAlignment="1">
      <alignment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0" fontId="18" fillId="8" borderId="2" xfId="0" applyFont="1" applyFill="1" applyBorder="1" applyAlignment="1">
      <alignment horizontal="center" vertical="center"/>
    </xf>
    <xf numFmtId="2" fontId="18" fillId="8" borderId="2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/>
    </xf>
    <xf numFmtId="9" fontId="18" fillId="9" borderId="2" xfId="12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vertical="center"/>
    </xf>
    <xf numFmtId="0" fontId="18" fillId="10" borderId="2" xfId="0" applyFont="1" applyFill="1" applyBorder="1" applyAlignment="1">
      <alignment horizontal="center" vertical="center"/>
    </xf>
    <xf numFmtId="2" fontId="18" fillId="10" borderId="2" xfId="0" applyNumberFormat="1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9" fontId="18" fillId="3" borderId="2" xfId="12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horizontal="center" vertical="center"/>
    </xf>
    <xf numFmtId="2" fontId="18" fillId="9" borderId="2" xfId="0" applyNumberFormat="1" applyFont="1" applyFill="1" applyBorder="1" applyAlignment="1">
      <alignment horizontal="center" vertical="center"/>
    </xf>
    <xf numFmtId="0" fontId="21" fillId="0" borderId="0" xfId="0" applyFont="1"/>
    <xf numFmtId="9" fontId="18" fillId="10" borderId="2" xfId="12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vertical="center"/>
    </xf>
    <xf numFmtId="0" fontId="20" fillId="10" borderId="2" xfId="0" applyFont="1" applyFill="1" applyBorder="1" applyAlignment="1">
      <alignment horizontal="center" vertical="center"/>
    </xf>
    <xf numFmtId="2" fontId="20" fillId="10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17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49" fontId="11" fillId="5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166" fontId="12" fillId="6" borderId="0" xfId="0" applyNumberFormat="1" applyFont="1" applyFill="1" applyBorder="1" applyAlignment="1">
      <alignment horizontal="center" vertical="center"/>
    </xf>
    <xf numFmtId="166" fontId="6" fillId="11" borderId="0" xfId="0" applyNumberFormat="1" applyFont="1" applyFill="1" applyAlignment="1">
      <alignment horizontal="center" vertical="center"/>
    </xf>
    <xf numFmtId="0" fontId="25" fillId="0" borderId="0" xfId="0" applyFont="1"/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26" fillId="3" borderId="0" xfId="0" applyFont="1" applyFill="1" applyBorder="1" applyAlignment="1">
      <alignment vertical="center"/>
    </xf>
    <xf numFmtId="0" fontId="27" fillId="3" borderId="2" xfId="0" applyFont="1" applyFill="1" applyBorder="1" applyAlignment="1">
      <alignment vertical="center"/>
    </xf>
    <xf numFmtId="2" fontId="28" fillId="3" borderId="2" xfId="0" applyNumberFormat="1" applyFont="1" applyFill="1" applyBorder="1" applyAlignment="1">
      <alignment horizontal="center" vertical="center"/>
    </xf>
    <xf numFmtId="2" fontId="28" fillId="10" borderId="2" xfId="0" applyNumberFormat="1" applyFont="1" applyFill="1" applyBorder="1" applyAlignment="1">
      <alignment horizontal="center" vertical="center"/>
    </xf>
    <xf numFmtId="2" fontId="29" fillId="10" borderId="2" xfId="0" applyNumberFormat="1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vertical="center"/>
    </xf>
    <xf numFmtId="2" fontId="30" fillId="3" borderId="2" xfId="0" applyNumberFormat="1" applyFont="1" applyFill="1" applyBorder="1" applyAlignment="1">
      <alignment horizontal="center" vertical="center"/>
    </xf>
    <xf numFmtId="9" fontId="20" fillId="3" borderId="2" xfId="12" applyFont="1" applyFill="1" applyBorder="1" applyAlignment="1">
      <alignment horizontal="center" vertical="center"/>
    </xf>
    <xf numFmtId="4" fontId="20" fillId="3" borderId="2" xfId="0" applyNumberFormat="1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12" borderId="0" xfId="0" applyFont="1" applyFill="1" applyBorder="1" applyAlignment="1">
      <alignment vertical="center"/>
    </xf>
    <xf numFmtId="17" fontId="15" fillId="12" borderId="0" xfId="0" applyNumberFormat="1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vertical="center"/>
    </xf>
    <xf numFmtId="0" fontId="4" fillId="13" borderId="0" xfId="0" applyFont="1" applyFill="1" applyBorder="1" applyAlignment="1">
      <alignment vertical="center"/>
    </xf>
    <xf numFmtId="0" fontId="31" fillId="14" borderId="0" xfId="0" applyFont="1" applyFill="1" applyBorder="1" applyAlignment="1">
      <alignment horizontal="center" vertical="center"/>
    </xf>
    <xf numFmtId="166" fontId="24" fillId="14" borderId="0" xfId="0" applyNumberFormat="1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vertical="center"/>
    </xf>
    <xf numFmtId="166" fontId="6" fillId="15" borderId="0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2" fontId="18" fillId="0" borderId="0" xfId="0" applyNumberFormat="1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9" fillId="10" borderId="2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7" fontId="0" fillId="0" borderId="0" xfId="0" applyNumberFormat="1"/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9" fillId="8" borderId="2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2" fontId="6" fillId="4" borderId="0" xfId="3" applyNumberFormat="1" applyFont="1" applyFill="1" applyAlignment="1">
      <alignment horizontal="center" vertical="center"/>
    </xf>
    <xf numFmtId="9" fontId="6" fillId="4" borderId="0" xfId="3" applyFont="1" applyFill="1" applyAlignment="1">
      <alignment horizontal="center" vertical="center"/>
    </xf>
    <xf numFmtId="2" fontId="6" fillId="6" borderId="0" xfId="1" applyNumberFormat="1" applyFont="1" applyFill="1" applyAlignment="1">
      <alignment horizontal="center" vertical="center"/>
    </xf>
    <xf numFmtId="9" fontId="6" fillId="6" borderId="0" xfId="3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20" fillId="9" borderId="2" xfId="0" applyFont="1" applyFill="1" applyBorder="1" applyAlignment="1">
      <alignment vertical="center"/>
    </xf>
    <xf numFmtId="0" fontId="20" fillId="9" borderId="2" xfId="0" applyFont="1" applyFill="1" applyBorder="1" applyAlignment="1">
      <alignment horizontal="center" vertical="center"/>
    </xf>
    <xf numFmtId="2" fontId="20" fillId="9" borderId="2" xfId="0" applyNumberFormat="1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right" vertical="center"/>
    </xf>
    <xf numFmtId="2" fontId="2" fillId="16" borderId="0" xfId="0" applyNumberFormat="1" applyFont="1" applyFill="1"/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</cellXfs>
  <cellStyles count="13">
    <cellStyle name="=D:\WINNT\SYSTEM32\COMMAND.COM" xfId="5"/>
    <cellStyle name="Normal" xfId="0" builtinId="0"/>
    <cellStyle name="Percent" xfId="12" builtinId="5"/>
    <cellStyle name="Денежный 2" xfId="2"/>
    <cellStyle name="Обычный 2" xfId="6"/>
    <cellStyle name="Обычный 3" xfId="7"/>
    <cellStyle name="Обычный 4" xfId="4"/>
    <cellStyle name="Обычный 5" xfId="8"/>
    <cellStyle name="Обычный 5 2" xfId="11"/>
    <cellStyle name="Обычный 6" xfId="1"/>
    <cellStyle name="Примечание 2" xfId="9"/>
    <cellStyle name="Процентный 2" xfId="3"/>
    <cellStyle name="Финансовый 2" xfId="10"/>
  </cellStyles>
  <dxfs count="50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91844791064896"/>
          <c:y val="9.0616432767624031E-2"/>
          <c:w val="0.77175524744848845"/>
          <c:h val="0.63905131826742001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bg1"/>
              </a:solidFill>
            </a:ln>
          </c:spPr>
          <c:invertIfNegative val="0"/>
          <c:cat>
            <c:multiLvlStrRef>
              <c:f>Export!$AG$46:$AS$47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</c:v>
                  </c:pt>
                  <c:pt idx="6">
                    <c:v>Sept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Export!$AG$48:$AS$48</c:f>
              <c:numCache>
                <c:formatCode>General</c:formatCode>
                <c:ptCount val="13"/>
                <c:pt idx="0">
                  <c:v>4.0999999999999996</c:v>
                </c:pt>
                <c:pt idx="1">
                  <c:v>2.08324</c:v>
                </c:pt>
                <c:pt idx="7">
                  <c:v>0.18071200000000001</c:v>
                </c:pt>
                <c:pt idx="8">
                  <c:v>0.71647099999999997</c:v>
                </c:pt>
                <c:pt idx="9">
                  <c:v>6.2468950000000003</c:v>
                </c:pt>
                <c:pt idx="10">
                  <c:v>0</c:v>
                </c:pt>
                <c:pt idx="11">
                  <c:v>0</c:v>
                </c:pt>
                <c:pt idx="12">
                  <c:v>4.9383540000000004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3-4E9C-BC95-2A8CF8334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3585152"/>
        <c:axId val="113785472"/>
      </c:barChart>
      <c:catAx>
        <c:axId val="11358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</c:spPr>
        <c:txPr>
          <a:bodyPr rot="-5400000" vert="horz"/>
          <a:lstStyle/>
          <a:p>
            <a:pPr>
              <a:defRPr sz="800"/>
            </a:pPr>
            <a:endParaRPr lang="ru-RU"/>
          </a:p>
        </c:txPr>
        <c:crossAx val="113785472"/>
        <c:crosses val="autoZero"/>
        <c:auto val="1"/>
        <c:lblAlgn val="ctr"/>
        <c:lblOffset val="100"/>
        <c:noMultiLvlLbl val="0"/>
      </c:catAx>
      <c:valAx>
        <c:axId val="113785472"/>
        <c:scaling>
          <c:orientation val="minMax"/>
          <c:max val="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 i="1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en-US" sz="1050" i="1">
                    <a:solidFill>
                      <a:schemeClr val="accent2">
                        <a:lumMod val="75000"/>
                      </a:schemeClr>
                    </a:solidFill>
                  </a:rPr>
                  <a:t>kt</a:t>
                </a:r>
              </a:p>
            </c:rich>
          </c:tx>
          <c:layout>
            <c:manualLayout>
              <c:xMode val="edge"/>
              <c:yMode val="edge"/>
              <c:x val="8.8369895507834327E-3"/>
              <c:y val="0.3145587809388624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ru-RU"/>
          </a:p>
        </c:txPr>
        <c:crossAx val="1135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solidFill>
        <a:sysClr val="windowText" lastClr="000000"/>
      </a:solidFill>
      <a:round/>
    </a:ln>
  </c:spPr>
  <c:txPr>
    <a:bodyPr/>
    <a:lstStyle/>
    <a:p>
      <a:pPr>
        <a:defRPr>
          <a:solidFill>
            <a:sysClr val="windowText" lastClr="000000"/>
          </a:solidFill>
          <a:latin typeface="Arial" pitchFamily="34" charset="0"/>
          <a:cs typeface="Arial" pitchFamily="34" charset="0"/>
        </a:defRPr>
      </a:pPr>
      <a:endParaRPr lang="ru-RU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66677</xdr:colOff>
      <xdr:row>25</xdr:row>
      <xdr:rowOff>0</xdr:rowOff>
    </xdr:from>
    <xdr:to>
      <xdr:col>14</xdr:col>
      <xdr:colOff>242554</xdr:colOff>
      <xdr:row>27</xdr:row>
      <xdr:rowOff>132734</xdr:rowOff>
    </xdr:to>
    <xdr:sp macro="" textlink="">
      <xdr:nvSpPr>
        <xdr:cNvPr id="3" name="Прямоугольник 2"/>
        <xdr:cNvSpPr>
          <a:spLocks noChangeAspect="1"/>
        </xdr:cNvSpPr>
      </xdr:nvSpPr>
      <xdr:spPr bwMode="auto">
        <a:xfrm>
          <a:off x="8058152" y="4579620"/>
          <a:ext cx="3223877" cy="437534"/>
        </a:xfrm>
        <a:prstGeom prst="rect">
          <a:avLst/>
        </a:prstGeom>
        <a:solidFill>
          <a:srgbClr val="3C919A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Propylene Export from Russia</a:t>
          </a:r>
          <a:endParaRPr lang="ru-RU" sz="11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9</xdr:col>
      <xdr:colOff>66675</xdr:colOff>
      <xdr:row>27</xdr:row>
      <xdr:rowOff>124047</xdr:rowOff>
    </xdr:from>
    <xdr:to>
      <xdr:col>12</xdr:col>
      <xdr:colOff>315075</xdr:colOff>
      <xdr:row>41</xdr:row>
      <xdr:rowOff>53487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2"/>
  <sheetViews>
    <sheetView topLeftCell="A19" workbookViewId="0">
      <selection activeCell="N44" sqref="N44"/>
    </sheetView>
  </sheetViews>
  <sheetFormatPr defaultRowHeight="15" x14ac:dyDescent="0.25"/>
  <cols>
    <col min="1" max="1" width="27.85546875" customWidth="1"/>
    <col min="2" max="2" width="17.28515625" customWidth="1"/>
    <col min="4" max="4" width="9.140625" style="1"/>
    <col min="5" max="5" width="9.42578125" customWidth="1"/>
    <col min="7" max="7" width="17.28515625" customWidth="1"/>
    <col min="15" max="15" width="9.140625" style="1"/>
  </cols>
  <sheetData>
    <row r="1" spans="1:17" x14ac:dyDescent="0.25">
      <c r="A1" s="18" t="s">
        <v>14</v>
      </c>
      <c r="B1" s="3"/>
      <c r="C1" s="3"/>
      <c r="D1" s="3"/>
      <c r="E1" s="3"/>
      <c r="N1" t="s">
        <v>15</v>
      </c>
      <c r="O1" s="3"/>
    </row>
    <row r="2" spans="1:17" x14ac:dyDescent="0.25">
      <c r="A2" s="11" t="s">
        <v>0</v>
      </c>
      <c r="B2" s="11" t="s">
        <v>1</v>
      </c>
      <c r="C2" s="13">
        <v>44743</v>
      </c>
      <c r="D2" s="13">
        <v>44713</v>
      </c>
      <c r="E2" s="12" t="s">
        <v>2</v>
      </c>
      <c r="I2" s="13">
        <v>44531</v>
      </c>
      <c r="J2" s="13">
        <v>44562</v>
      </c>
      <c r="K2" s="13">
        <v>44593</v>
      </c>
      <c r="L2" s="13">
        <v>44621</v>
      </c>
      <c r="M2" s="13">
        <v>44652</v>
      </c>
      <c r="N2" s="13">
        <v>44682</v>
      </c>
      <c r="O2" s="13">
        <v>44713</v>
      </c>
    </row>
    <row r="3" spans="1:17" x14ac:dyDescent="0.25">
      <c r="A3" s="4" t="s">
        <v>3</v>
      </c>
      <c r="B3" s="10"/>
      <c r="C3" s="8"/>
      <c r="D3" s="8"/>
      <c r="E3" s="5"/>
      <c r="I3" s="8"/>
      <c r="J3" s="8"/>
      <c r="K3" s="8"/>
      <c r="L3" s="8"/>
      <c r="M3" s="8"/>
      <c r="N3" s="8"/>
      <c r="O3" s="8"/>
    </row>
    <row r="4" spans="1:17" x14ac:dyDescent="0.25">
      <c r="A4" s="6" t="s">
        <v>9</v>
      </c>
      <c r="B4" s="6" t="s">
        <v>10</v>
      </c>
      <c r="C4" s="16">
        <v>5.6481599999999998</v>
      </c>
      <c r="D4" s="16">
        <v>1.5035000000000001</v>
      </c>
      <c r="E4" s="17">
        <f>C4/D4-1</f>
        <v>2.756674426338543</v>
      </c>
      <c r="I4" s="16">
        <v>7.3267800000000003</v>
      </c>
      <c r="J4" s="16"/>
      <c r="K4" s="16">
        <v>4.0747200000000001</v>
      </c>
      <c r="L4" s="16">
        <v>1.60364</v>
      </c>
      <c r="M4" s="16">
        <v>5.6730200000000002</v>
      </c>
      <c r="N4" s="16">
        <v>3.0897399999999999</v>
      </c>
      <c r="O4" s="16">
        <v>1.5035000000000001</v>
      </c>
      <c r="Q4" s="43">
        <f>J4+K4+L4+M4+N4+O4+C4</f>
        <v>21.592779999999998</v>
      </c>
    </row>
    <row r="5" spans="1:17" x14ac:dyDescent="0.25">
      <c r="A5" s="6"/>
      <c r="B5" s="6" t="s">
        <v>8</v>
      </c>
      <c r="C5" s="16">
        <v>3.0068800000000002</v>
      </c>
      <c r="D5" s="16">
        <v>3.5122399999999998</v>
      </c>
      <c r="E5" s="17">
        <f>C5/D5-1</f>
        <v>-0.14388538368676385</v>
      </c>
      <c r="I5" s="16">
        <v>7.6941600000000001</v>
      </c>
      <c r="J5" s="16">
        <v>0.99958000000000002</v>
      </c>
      <c r="K5" s="16">
        <v>2.7235999999999998</v>
      </c>
      <c r="L5" s="16">
        <v>6.1618199999999996</v>
      </c>
      <c r="M5" s="16">
        <v>2.5541200000000002</v>
      </c>
      <c r="N5" s="16">
        <v>1.9837800000000001</v>
      </c>
      <c r="O5" s="16">
        <v>3.5122399999999998</v>
      </c>
      <c r="Q5" s="43">
        <f t="shared" ref="Q5:Q11" si="0">J5+K5+L5+M5+N5+O5+C5</f>
        <v>20.942019999999996</v>
      </c>
    </row>
    <row r="6" spans="1:17" s="1" customFormat="1" x14ac:dyDescent="0.25">
      <c r="A6" s="6"/>
      <c r="B6" s="6" t="s">
        <v>7</v>
      </c>
      <c r="C6" s="16"/>
      <c r="D6" s="16"/>
      <c r="E6" s="17"/>
      <c r="I6" s="16"/>
      <c r="J6" s="16"/>
      <c r="K6" s="16"/>
      <c r="L6" s="16"/>
      <c r="M6" s="16">
        <v>1.98644</v>
      </c>
      <c r="N6" s="16"/>
      <c r="O6" s="16"/>
      <c r="Q6" s="43">
        <f t="shared" si="0"/>
        <v>1.98644</v>
      </c>
    </row>
    <row r="7" spans="1:17" x14ac:dyDescent="0.25">
      <c r="A7" s="14" t="s">
        <v>6</v>
      </c>
      <c r="B7" s="14" t="s">
        <v>7</v>
      </c>
      <c r="C7" s="15"/>
      <c r="D7" s="15"/>
      <c r="E7" s="15" t="s">
        <v>4</v>
      </c>
      <c r="I7" s="15">
        <v>2.1368</v>
      </c>
      <c r="J7" s="15" t="s">
        <v>4</v>
      </c>
      <c r="K7" s="15"/>
      <c r="L7" s="15"/>
      <c r="M7" s="15"/>
      <c r="N7" s="15"/>
      <c r="O7" s="15"/>
      <c r="Q7" s="43" t="e">
        <f t="shared" si="0"/>
        <v>#VALUE!</v>
      </c>
    </row>
    <row r="8" spans="1:17" s="1" customFormat="1" x14ac:dyDescent="0.25">
      <c r="A8" s="14"/>
      <c r="B8" s="14" t="s">
        <v>16</v>
      </c>
      <c r="C8" s="15"/>
      <c r="D8" s="15"/>
      <c r="E8" s="15"/>
      <c r="I8" s="15"/>
      <c r="J8" s="15"/>
      <c r="K8" s="15"/>
      <c r="L8" s="15"/>
      <c r="M8" s="15">
        <v>0.69162000000000001</v>
      </c>
      <c r="N8" s="15"/>
      <c r="O8" s="15"/>
      <c r="Q8" s="43">
        <f t="shared" si="0"/>
        <v>0.69162000000000001</v>
      </c>
    </row>
    <row r="9" spans="1:17" s="1" customFormat="1" x14ac:dyDescent="0.25">
      <c r="A9" s="6" t="s">
        <v>11</v>
      </c>
      <c r="B9" s="6" t="s">
        <v>12</v>
      </c>
      <c r="C9" s="16">
        <v>1.8068599999999999</v>
      </c>
      <c r="D9" s="16"/>
      <c r="E9" s="17" t="e">
        <f t="shared" ref="E9:E10" si="1">C9/D9-1</f>
        <v>#DIV/0!</v>
      </c>
      <c r="I9" s="16" t="s">
        <v>4</v>
      </c>
      <c r="J9" s="16">
        <v>2.2405400000000002</v>
      </c>
      <c r="K9" s="16">
        <v>1.1933400000000001</v>
      </c>
      <c r="L9" s="16">
        <v>1.12984</v>
      </c>
      <c r="M9" s="16"/>
      <c r="N9" s="16">
        <v>3.4435600000000002</v>
      </c>
      <c r="O9" s="16"/>
      <c r="Q9" s="43">
        <f t="shared" si="0"/>
        <v>9.8141400000000001</v>
      </c>
    </row>
    <row r="10" spans="1:17" s="1" customFormat="1" x14ac:dyDescent="0.25">
      <c r="A10" s="6"/>
      <c r="B10" s="6" t="s">
        <v>13</v>
      </c>
      <c r="C10" s="16"/>
      <c r="D10" s="16">
        <v>2.08718</v>
      </c>
      <c r="E10" s="17">
        <f t="shared" si="1"/>
        <v>-1</v>
      </c>
      <c r="I10" s="16" t="s">
        <v>4</v>
      </c>
      <c r="J10" s="16">
        <v>3.8502200000000002</v>
      </c>
      <c r="K10" s="16">
        <v>3.6135999999999999</v>
      </c>
      <c r="L10" s="16">
        <v>1.9917400000000001</v>
      </c>
      <c r="M10" s="16">
        <v>2.3688199999999999</v>
      </c>
      <c r="N10" s="16">
        <v>0.20452000000000001</v>
      </c>
      <c r="O10" s="16">
        <v>2.08718</v>
      </c>
      <c r="Q10" s="43">
        <f t="shared" si="0"/>
        <v>14.11608</v>
      </c>
    </row>
    <row r="11" spans="1:17" s="1" customFormat="1" x14ac:dyDescent="0.25">
      <c r="A11" s="6"/>
      <c r="B11" s="6" t="s">
        <v>8</v>
      </c>
      <c r="C11" s="16"/>
      <c r="D11" s="16"/>
      <c r="E11" s="16" t="s">
        <v>4</v>
      </c>
      <c r="I11" s="16" t="s">
        <v>4</v>
      </c>
      <c r="J11" s="16">
        <v>0.65686</v>
      </c>
      <c r="K11" s="16"/>
      <c r="L11" s="16">
        <v>3.4895</v>
      </c>
      <c r="M11" s="16"/>
      <c r="N11" s="16"/>
      <c r="O11" s="16"/>
      <c r="Q11" s="43">
        <f t="shared" si="0"/>
        <v>4.1463599999999996</v>
      </c>
    </row>
    <row r="12" spans="1:17" x14ac:dyDescent="0.25">
      <c r="A12" s="7" t="s">
        <v>5</v>
      </c>
      <c r="B12" s="2"/>
      <c r="C12" s="2"/>
      <c r="D12" s="2"/>
      <c r="E12" s="2"/>
      <c r="O12" s="2"/>
    </row>
    <row r="13" spans="1:17" x14ac:dyDescent="0.25">
      <c r="I13" s="43">
        <f>SUM(I4:I11)</f>
        <v>17.15774</v>
      </c>
      <c r="J13" s="43">
        <f t="shared" ref="J13:O13" si="2">SUM(J4:J11)</f>
        <v>7.7472000000000003</v>
      </c>
      <c r="K13" s="43">
        <f t="shared" si="2"/>
        <v>11.605260000000001</v>
      </c>
      <c r="L13" s="43">
        <f t="shared" si="2"/>
        <v>14.376539999999999</v>
      </c>
      <c r="M13" s="43">
        <f t="shared" si="2"/>
        <v>13.27402</v>
      </c>
      <c r="N13" s="43">
        <f t="shared" si="2"/>
        <v>8.7216000000000005</v>
      </c>
      <c r="O13" s="43">
        <f t="shared" si="2"/>
        <v>7.1029200000000001</v>
      </c>
    </row>
    <row r="14" spans="1:17" x14ac:dyDescent="0.25">
      <c r="A14" s="2"/>
      <c r="B14" s="2"/>
      <c r="C14" s="2"/>
      <c r="D14" s="2"/>
      <c r="E14" s="9"/>
      <c r="O14" s="2"/>
    </row>
    <row r="15" spans="1:17" x14ac:dyDescent="0.25">
      <c r="A15" s="18" t="s">
        <v>14</v>
      </c>
      <c r="B15" s="3"/>
      <c r="C15" s="3"/>
      <c r="D15" s="3"/>
      <c r="E15" s="3"/>
      <c r="O15" s="3"/>
    </row>
    <row r="16" spans="1:17" x14ac:dyDescent="0.25">
      <c r="A16" s="11" t="s">
        <v>0</v>
      </c>
      <c r="B16" s="11" t="s">
        <v>1</v>
      </c>
      <c r="C16" s="13">
        <v>44774</v>
      </c>
      <c r="D16" s="13">
        <v>44743</v>
      </c>
      <c r="E16" s="12" t="s">
        <v>2</v>
      </c>
      <c r="G16" s="1" t="s">
        <v>0</v>
      </c>
      <c r="H16" s="1" t="s">
        <v>1</v>
      </c>
      <c r="I16" s="91">
        <v>45017</v>
      </c>
      <c r="J16" s="91">
        <v>44986</v>
      </c>
      <c r="K16" s="1" t="s">
        <v>2</v>
      </c>
      <c r="O16" s="13">
        <v>44713</v>
      </c>
    </row>
    <row r="17" spans="1:42" x14ac:dyDescent="0.25">
      <c r="A17" s="4" t="s">
        <v>3</v>
      </c>
      <c r="B17" s="10"/>
      <c r="C17" s="8"/>
      <c r="D17" s="8"/>
      <c r="E17" s="5"/>
      <c r="G17" s="1" t="s">
        <v>3</v>
      </c>
      <c r="H17" s="1"/>
      <c r="I17" s="1"/>
      <c r="J17" s="1"/>
      <c r="K17" s="1"/>
      <c r="O17" s="8"/>
    </row>
    <row r="18" spans="1:42" x14ac:dyDescent="0.25">
      <c r="A18" s="6" t="s">
        <v>9</v>
      </c>
      <c r="B18" s="6" t="s">
        <v>10</v>
      </c>
      <c r="C18" s="16" t="s">
        <v>4</v>
      </c>
      <c r="D18" s="16">
        <v>5.6481599999999998</v>
      </c>
      <c r="E18" s="16" t="s">
        <v>4</v>
      </c>
      <c r="G18" s="1" t="s">
        <v>9</v>
      </c>
      <c r="H18" s="1" t="s">
        <v>13</v>
      </c>
      <c r="I18" s="1">
        <v>3.976</v>
      </c>
      <c r="J18" s="1" t="s">
        <v>4</v>
      </c>
      <c r="K18" s="1" t="s">
        <v>4</v>
      </c>
      <c r="O18" s="16">
        <v>1.5035000000000001</v>
      </c>
    </row>
    <row r="19" spans="1:42" x14ac:dyDescent="0.25">
      <c r="A19" s="6"/>
      <c r="B19" s="6" t="s">
        <v>8</v>
      </c>
      <c r="C19" s="16">
        <v>1.03712</v>
      </c>
      <c r="D19" s="16">
        <v>3.0068800000000002</v>
      </c>
      <c r="E19" s="17">
        <f>C19/D19-1</f>
        <v>-0.65508433991379778</v>
      </c>
      <c r="G19" s="1" t="s">
        <v>11</v>
      </c>
      <c r="H19" s="1" t="s">
        <v>13</v>
      </c>
      <c r="I19" s="1" t="s">
        <v>4</v>
      </c>
      <c r="J19" s="1">
        <v>3.9820000000000002</v>
      </c>
      <c r="K19" s="1" t="s">
        <v>4</v>
      </c>
      <c r="O19" s="16">
        <v>3.5122399999999998</v>
      </c>
    </row>
    <row r="20" spans="1:42" x14ac:dyDescent="0.25">
      <c r="A20" s="14" t="s">
        <v>11</v>
      </c>
      <c r="B20" s="14" t="s">
        <v>12</v>
      </c>
      <c r="C20" s="15" t="s">
        <v>4</v>
      </c>
      <c r="D20" s="15">
        <v>1.8068599999999999</v>
      </c>
      <c r="E20" s="15" t="s">
        <v>4</v>
      </c>
    </row>
    <row r="21" spans="1:42" x14ac:dyDescent="0.25">
      <c r="A21" s="14"/>
      <c r="B21" s="14" t="s">
        <v>13</v>
      </c>
      <c r="C21" s="15" t="s">
        <v>4</v>
      </c>
      <c r="D21" s="15"/>
      <c r="E21" s="15" t="s">
        <v>4</v>
      </c>
    </row>
    <row r="22" spans="1:42" x14ac:dyDescent="0.25">
      <c r="A22" s="7" t="s">
        <v>5</v>
      </c>
      <c r="B22" s="2"/>
      <c r="C22" s="2"/>
      <c r="D22" s="2"/>
      <c r="E22" s="2"/>
    </row>
    <row r="23" spans="1:42" x14ac:dyDescent="0.25">
      <c r="K23" s="38"/>
    </row>
    <row r="26" spans="1:42" x14ac:dyDescent="0.25">
      <c r="A26" s="19" t="s">
        <v>26</v>
      </c>
      <c r="B26" s="1"/>
      <c r="C26" s="1"/>
      <c r="E26" s="1"/>
      <c r="F26" s="1"/>
      <c r="G26" s="1"/>
    </row>
    <row r="27" spans="1:42" x14ac:dyDescent="0.25">
      <c r="A27" s="20" t="s">
        <v>17</v>
      </c>
      <c r="B27" s="21" t="s">
        <v>18</v>
      </c>
      <c r="C27" s="82" t="s">
        <v>113</v>
      </c>
      <c r="D27" s="131" t="s">
        <v>112</v>
      </c>
      <c r="E27" s="146" t="s">
        <v>20</v>
      </c>
      <c r="F27" s="146"/>
      <c r="G27" s="82" t="s">
        <v>118</v>
      </c>
      <c r="Q27" s="87" t="s">
        <v>85</v>
      </c>
      <c r="R27" s="92" t="s">
        <v>86</v>
      </c>
      <c r="S27" s="92" t="s">
        <v>87</v>
      </c>
      <c r="T27" s="93" t="s">
        <v>89</v>
      </c>
      <c r="U27" s="95" t="s">
        <v>90</v>
      </c>
      <c r="V27" s="98" t="s">
        <v>91</v>
      </c>
      <c r="W27" s="98" t="s">
        <v>92</v>
      </c>
      <c r="X27" s="100" t="s">
        <v>93</v>
      </c>
      <c r="Y27" s="100" t="s">
        <v>94</v>
      </c>
      <c r="Z27" s="103" t="s">
        <v>95</v>
      </c>
      <c r="AA27" s="103" t="s">
        <v>96</v>
      </c>
      <c r="AB27" s="105" t="s">
        <v>97</v>
      </c>
      <c r="AC27" s="106" t="s">
        <v>98</v>
      </c>
      <c r="AD27" s="106" t="s">
        <v>99</v>
      </c>
      <c r="AE27" s="112" t="s">
        <v>100</v>
      </c>
      <c r="AF27" s="116" t="s">
        <v>101</v>
      </c>
      <c r="AG27" s="116" t="s">
        <v>102</v>
      </c>
      <c r="AH27" s="118" t="s">
        <v>108</v>
      </c>
      <c r="AI27" s="118" t="s">
        <v>104</v>
      </c>
      <c r="AJ27" s="120" t="s">
        <v>105</v>
      </c>
      <c r="AK27" s="122" t="s">
        <v>106</v>
      </c>
      <c r="AL27" s="123" t="s">
        <v>107</v>
      </c>
      <c r="AM27" s="125" t="s">
        <v>109</v>
      </c>
      <c r="AN27" s="127" t="s">
        <v>110</v>
      </c>
      <c r="AO27" s="129" t="s">
        <v>111</v>
      </c>
      <c r="AP27" s="131" t="s">
        <v>112</v>
      </c>
    </row>
    <row r="28" spans="1:42" x14ac:dyDescent="0.25">
      <c r="A28" s="23" t="s">
        <v>21</v>
      </c>
      <c r="B28" s="24"/>
      <c r="C28" s="24"/>
      <c r="D28" s="24"/>
      <c r="E28" s="24"/>
      <c r="F28" s="24"/>
      <c r="G28" s="24"/>
      <c r="H28" s="1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</row>
    <row r="29" spans="1:42" x14ac:dyDescent="0.25">
      <c r="A29" s="25" t="s">
        <v>27</v>
      </c>
      <c r="B29" s="26" t="s">
        <v>28</v>
      </c>
      <c r="C29" s="27"/>
      <c r="D29" s="27"/>
      <c r="E29" s="94" t="str">
        <f t="shared" ref="E29:E38" si="3">IF(OR(F29="=",F29="≈",F29="—"),"",IF(F29&gt;0,"",IF(F29&lt;0,"","")))</f>
        <v/>
      </c>
      <c r="F29" s="29" t="str">
        <f t="shared" ref="F29:F38" si="4">IFERROR(IF(C29/D29-1=0,"=",IF(C29/D29-1=-1,"—",IF(OR(AND(C29/D29-1&lt;0.005,C29/D29-1&gt;0), AND(C29/D29-1&lt;0,C29/D29-1&gt;-0.005)),"≈",C29/D29-1))),"—")</f>
        <v>—</v>
      </c>
      <c r="G29" s="27">
        <v>0</v>
      </c>
      <c r="H29" s="75"/>
      <c r="I29" s="75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spans="1:42" x14ac:dyDescent="0.25">
      <c r="A30" s="35"/>
      <c r="B30" s="36" t="s">
        <v>29</v>
      </c>
      <c r="C30" s="37"/>
      <c r="D30" s="37"/>
      <c r="E30" s="94" t="str">
        <f t="shared" si="3"/>
        <v/>
      </c>
      <c r="F30" s="29" t="str">
        <f t="shared" si="4"/>
        <v>—</v>
      </c>
      <c r="G30" s="37">
        <v>0</v>
      </c>
      <c r="H30" s="75"/>
      <c r="I30" s="75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s="1" customFormat="1" x14ac:dyDescent="0.25">
      <c r="A31" s="35"/>
      <c r="B31" s="36" t="s">
        <v>22</v>
      </c>
      <c r="C31" s="37"/>
      <c r="D31" s="37"/>
      <c r="E31" s="94" t="str">
        <f t="shared" si="3"/>
        <v/>
      </c>
      <c r="F31" s="29" t="str">
        <f t="shared" si="4"/>
        <v>—</v>
      </c>
      <c r="G31" s="37">
        <v>0</v>
      </c>
      <c r="H31" s="75"/>
      <c r="I31" s="75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s="1" customFormat="1" x14ac:dyDescent="0.25">
      <c r="A32" s="35"/>
      <c r="B32" s="36" t="s">
        <v>32</v>
      </c>
      <c r="C32" s="37">
        <v>2.989074</v>
      </c>
      <c r="D32" s="37"/>
      <c r="E32" s="94" t="str">
        <f t="shared" si="3"/>
        <v/>
      </c>
      <c r="F32" s="29" t="str">
        <f t="shared" si="4"/>
        <v>—</v>
      </c>
      <c r="G32" s="37">
        <v>2.989074</v>
      </c>
      <c r="H32" s="75"/>
      <c r="I32" s="75"/>
      <c r="Q32" s="37">
        <v>2.9727999999999999</v>
      </c>
      <c r="R32" s="37"/>
      <c r="S32" s="37"/>
      <c r="T32" s="37">
        <v>3.976</v>
      </c>
      <c r="U32" s="37">
        <v>4.0456349999999999</v>
      </c>
      <c r="V32" s="37">
        <v>4.2408999999999999</v>
      </c>
      <c r="W32" s="37"/>
      <c r="X32" s="37"/>
      <c r="Y32" s="37"/>
      <c r="Z32" s="37"/>
      <c r="AA32" s="37"/>
      <c r="AB32" s="37">
        <v>3.560406</v>
      </c>
      <c r="AC32" s="37">
        <v>0.74439999999999995</v>
      </c>
      <c r="AD32" s="37">
        <v>2.59802</v>
      </c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</row>
    <row r="33" spans="1:45" x14ac:dyDescent="0.25">
      <c r="A33" s="30" t="s">
        <v>33</v>
      </c>
      <c r="B33" s="31" t="s">
        <v>32</v>
      </c>
      <c r="C33" s="32"/>
      <c r="D33" s="32"/>
      <c r="E33" s="86" t="s">
        <v>84</v>
      </c>
      <c r="F33" s="39" t="str">
        <f t="shared" si="4"/>
        <v>—</v>
      </c>
      <c r="G33" s="32">
        <v>0</v>
      </c>
      <c r="H33" s="75"/>
      <c r="I33" s="75"/>
      <c r="Q33" s="32"/>
      <c r="R33" s="32"/>
      <c r="S33" s="32"/>
      <c r="T33" s="32"/>
      <c r="U33" s="32">
        <v>0.48249999999999998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</row>
    <row r="34" spans="1:45" x14ac:dyDescent="0.25">
      <c r="A34" s="35" t="s">
        <v>30</v>
      </c>
      <c r="B34" s="36" t="s">
        <v>31</v>
      </c>
      <c r="C34" s="37"/>
      <c r="D34" s="37"/>
      <c r="E34" s="94" t="str">
        <f t="shared" si="3"/>
        <v/>
      </c>
      <c r="F34" s="29" t="str">
        <f t="shared" si="4"/>
        <v>—</v>
      </c>
      <c r="G34" s="37">
        <v>0</v>
      </c>
      <c r="H34" s="75"/>
      <c r="I34" s="75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</row>
    <row r="35" spans="1:45" x14ac:dyDescent="0.25">
      <c r="A35" s="35"/>
      <c r="B35" s="36" t="s">
        <v>32</v>
      </c>
      <c r="C35" s="37"/>
      <c r="D35" s="37"/>
      <c r="E35" s="94" t="str">
        <f t="shared" si="3"/>
        <v/>
      </c>
      <c r="F35" s="29" t="str">
        <f t="shared" si="4"/>
        <v>—</v>
      </c>
      <c r="G35" s="37">
        <v>0</v>
      </c>
      <c r="H35" s="75"/>
      <c r="I35" s="75"/>
      <c r="Q35" s="37">
        <v>3.50956</v>
      </c>
      <c r="R35" s="37"/>
      <c r="S35" s="37">
        <v>3.9820000000000002</v>
      </c>
      <c r="T35" s="37"/>
      <c r="U35" s="37">
        <v>3.7711000000000001</v>
      </c>
      <c r="V35" s="37">
        <v>4.3620799999999997</v>
      </c>
      <c r="W35" s="37">
        <v>5.4847200000000003</v>
      </c>
      <c r="X35" s="37"/>
      <c r="Y35" s="37">
        <v>1.38436</v>
      </c>
      <c r="Z35" s="37"/>
      <c r="AA35" s="37"/>
      <c r="AB35" s="37"/>
      <c r="AC35" s="37"/>
      <c r="AD35" s="37">
        <v>3.89906</v>
      </c>
      <c r="AE35" s="37">
        <v>4.0999999999999996</v>
      </c>
      <c r="AF35" s="37">
        <v>2.08324</v>
      </c>
      <c r="AG35" s="37"/>
      <c r="AH35" s="37"/>
      <c r="AI35" s="37"/>
      <c r="AJ35" s="37"/>
      <c r="AK35" s="37"/>
      <c r="AL35" s="37">
        <v>0.18071200000000001</v>
      </c>
      <c r="AM35" s="37">
        <v>0.71647099999999997</v>
      </c>
      <c r="AN35" s="37">
        <v>6.2468950000000003</v>
      </c>
      <c r="AO35" s="37"/>
      <c r="AP35" s="37"/>
    </row>
    <row r="36" spans="1:45" s="1" customFormat="1" x14ac:dyDescent="0.25">
      <c r="A36" s="35"/>
      <c r="B36" s="36" t="s">
        <v>29</v>
      </c>
      <c r="C36" s="37"/>
      <c r="D36" s="37"/>
      <c r="E36" s="94" t="str">
        <f t="shared" si="3"/>
        <v/>
      </c>
      <c r="F36" s="29" t="str">
        <f t="shared" si="4"/>
        <v>—</v>
      </c>
      <c r="G36" s="37">
        <v>0</v>
      </c>
      <c r="H36" s="75"/>
      <c r="I36" s="75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</row>
    <row r="37" spans="1:45" s="1" customFormat="1" x14ac:dyDescent="0.25">
      <c r="A37" s="30" t="s">
        <v>23</v>
      </c>
      <c r="B37" s="31" t="s">
        <v>117</v>
      </c>
      <c r="C37" s="32">
        <v>1.9492799999999999</v>
      </c>
      <c r="D37" s="32"/>
      <c r="E37" s="86" t="str">
        <f t="shared" si="3"/>
        <v/>
      </c>
      <c r="F37" s="39" t="str">
        <f t="shared" si="4"/>
        <v>—</v>
      </c>
      <c r="G37" s="32">
        <v>1.9492799999999999</v>
      </c>
      <c r="H37" s="136" t="s">
        <v>116</v>
      </c>
      <c r="I37" s="75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</row>
    <row r="38" spans="1:45" x14ac:dyDescent="0.25">
      <c r="A38" s="132" t="s">
        <v>25</v>
      </c>
      <c r="B38" s="133"/>
      <c r="C38" s="134">
        <v>4.9383540000000004</v>
      </c>
      <c r="D38" s="134">
        <v>0</v>
      </c>
      <c r="E38" s="135" t="str">
        <f t="shared" si="3"/>
        <v/>
      </c>
      <c r="F38" s="29" t="str">
        <f t="shared" si="4"/>
        <v>—</v>
      </c>
      <c r="G38" s="134">
        <v>4.9383540000000004</v>
      </c>
      <c r="H38" s="75"/>
      <c r="I38" s="75"/>
      <c r="Q38" s="42">
        <v>6.4823599999999999</v>
      </c>
      <c r="R38" s="42">
        <v>0</v>
      </c>
      <c r="S38" s="42">
        <v>3.9820000000000002</v>
      </c>
      <c r="T38" s="42">
        <v>3.976</v>
      </c>
      <c r="U38" s="42">
        <v>8.2992349999999995</v>
      </c>
      <c r="V38" s="42">
        <v>8.6029799999999987</v>
      </c>
      <c r="W38" s="42">
        <v>5.4847200000000003</v>
      </c>
      <c r="X38" s="42">
        <v>0</v>
      </c>
      <c r="Y38" s="42">
        <v>1.38436</v>
      </c>
      <c r="Z38" s="42">
        <v>0</v>
      </c>
      <c r="AA38" s="42">
        <v>0</v>
      </c>
      <c r="AB38" s="42">
        <v>3.560406</v>
      </c>
      <c r="AC38" s="42">
        <v>0.74439999999999995</v>
      </c>
      <c r="AD38" s="42">
        <v>6.4970800000000004</v>
      </c>
      <c r="AE38" s="42">
        <v>4.0999999999999996</v>
      </c>
      <c r="AF38" s="42">
        <v>2.08324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0.18071200000000001</v>
      </c>
      <c r="AM38" s="42">
        <v>0.71647099999999997</v>
      </c>
      <c r="AN38" s="42">
        <v>6.2468950000000003</v>
      </c>
      <c r="AO38" s="42">
        <v>0</v>
      </c>
      <c r="AP38" s="42">
        <v>0</v>
      </c>
    </row>
    <row r="39" spans="1:45" x14ac:dyDescent="0.25">
      <c r="H39" s="1"/>
      <c r="I39" s="75"/>
    </row>
    <row r="40" spans="1:45" x14ac:dyDescent="0.25">
      <c r="A40" s="11" t="s">
        <v>0</v>
      </c>
      <c r="B40" s="11" t="s">
        <v>1</v>
      </c>
      <c r="C40" s="13">
        <v>45352</v>
      </c>
      <c r="D40" s="13">
        <v>45323</v>
      </c>
      <c r="E40" s="12" t="s">
        <v>2</v>
      </c>
      <c r="G40" s="81"/>
      <c r="H40" s="1"/>
    </row>
    <row r="41" spans="1:45" x14ac:dyDescent="0.25">
      <c r="A41" s="4" t="s">
        <v>3</v>
      </c>
      <c r="B41" s="10"/>
      <c r="C41" s="8"/>
      <c r="D41" s="8"/>
      <c r="E41" s="5"/>
      <c r="H41" s="1"/>
    </row>
    <row r="42" spans="1:45" x14ac:dyDescent="0.25">
      <c r="A42" s="6" t="s">
        <v>11</v>
      </c>
      <c r="B42" s="6" t="s">
        <v>13</v>
      </c>
      <c r="C42" s="107">
        <v>4.09694</v>
      </c>
      <c r="D42" s="107">
        <v>3.89906</v>
      </c>
      <c r="E42" s="108">
        <f t="shared" ref="E42" si="5">C42/D42-1</f>
        <v>5.0750693756956844E-2</v>
      </c>
    </row>
    <row r="43" spans="1:45" x14ac:dyDescent="0.25">
      <c r="A43" s="14" t="s">
        <v>9</v>
      </c>
      <c r="B43" s="14" t="s">
        <v>13</v>
      </c>
      <c r="C43" s="109" t="s">
        <v>4</v>
      </c>
      <c r="D43" s="109">
        <v>2.59802</v>
      </c>
      <c r="E43" s="110" t="s">
        <v>4</v>
      </c>
    </row>
    <row r="46" spans="1:45" x14ac:dyDescent="0.25">
      <c r="B46" s="1">
        <v>2021</v>
      </c>
      <c r="C46" s="1"/>
      <c r="E46" s="1"/>
      <c r="F46" s="1">
        <v>2021</v>
      </c>
      <c r="J46" s="1">
        <v>2022</v>
      </c>
      <c r="K46" s="1">
        <v>2022</v>
      </c>
      <c r="L46" s="1">
        <v>2022</v>
      </c>
      <c r="M46" s="1">
        <v>2022</v>
      </c>
      <c r="N46" s="1"/>
      <c r="O46" s="1">
        <v>2022</v>
      </c>
      <c r="Q46" s="1">
        <v>2022</v>
      </c>
      <c r="S46">
        <v>2023</v>
      </c>
      <c r="T46" s="1">
        <v>2023</v>
      </c>
      <c r="U46">
        <v>2023</v>
      </c>
      <c r="V46" s="1">
        <v>2023</v>
      </c>
      <c r="Y46" s="1">
        <v>2023</v>
      </c>
      <c r="Z46" s="1">
        <v>2023</v>
      </c>
      <c r="AA46" s="1">
        <v>2023</v>
      </c>
      <c r="AB46" s="1">
        <v>2023</v>
      </c>
      <c r="AC46" s="1">
        <v>2023</v>
      </c>
      <c r="AD46" s="1">
        <v>2023</v>
      </c>
      <c r="AE46">
        <v>2024</v>
      </c>
      <c r="AF46" s="1">
        <v>2024</v>
      </c>
      <c r="AG46" s="1">
        <v>2024</v>
      </c>
      <c r="AQ46">
        <v>2025</v>
      </c>
    </row>
    <row r="47" spans="1:45" x14ac:dyDescent="0.25">
      <c r="B47" s="1" t="s">
        <v>36</v>
      </c>
      <c r="C47" s="1" t="s">
        <v>37</v>
      </c>
      <c r="D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1" t="s">
        <v>43</v>
      </c>
      <c r="J47" s="1" t="s">
        <v>44</v>
      </c>
      <c r="K47" s="1" t="s">
        <v>45</v>
      </c>
      <c r="L47" s="1" t="s">
        <v>46</v>
      </c>
      <c r="M47" s="1" t="s">
        <v>47</v>
      </c>
      <c r="N47" s="1" t="s">
        <v>36</v>
      </c>
      <c r="O47" s="1" t="s">
        <v>37</v>
      </c>
      <c r="P47" t="s">
        <v>38</v>
      </c>
      <c r="Q47" t="s">
        <v>39</v>
      </c>
      <c r="R47" s="1" t="s">
        <v>40</v>
      </c>
      <c r="S47" t="s">
        <v>41</v>
      </c>
      <c r="T47" t="s">
        <v>42</v>
      </c>
      <c r="U47" t="s">
        <v>43</v>
      </c>
      <c r="V47" t="s">
        <v>44</v>
      </c>
      <c r="W47" t="s">
        <v>45</v>
      </c>
      <c r="X47" t="s">
        <v>46</v>
      </c>
      <c r="Y47" t="s">
        <v>47</v>
      </c>
      <c r="Z47" t="s">
        <v>36</v>
      </c>
      <c r="AA47" t="s">
        <v>37</v>
      </c>
      <c r="AB47" t="s">
        <v>38</v>
      </c>
      <c r="AC47" t="s">
        <v>39</v>
      </c>
      <c r="AD47" t="s">
        <v>40</v>
      </c>
      <c r="AE47" t="s">
        <v>41</v>
      </c>
      <c r="AF47" s="1" t="s">
        <v>42</v>
      </c>
      <c r="AG47" t="s">
        <v>43</v>
      </c>
      <c r="AH47" t="s">
        <v>44</v>
      </c>
      <c r="AI47" t="s">
        <v>45</v>
      </c>
      <c r="AJ47" t="s">
        <v>46</v>
      </c>
      <c r="AK47" t="s">
        <v>47</v>
      </c>
      <c r="AL47" t="s">
        <v>36</v>
      </c>
      <c r="AM47" t="s">
        <v>37</v>
      </c>
      <c r="AN47" t="s">
        <v>38</v>
      </c>
      <c r="AO47" t="s">
        <v>39</v>
      </c>
      <c r="AP47" t="s">
        <v>40</v>
      </c>
      <c r="AQ47" t="s">
        <v>41</v>
      </c>
      <c r="AR47" t="s">
        <v>42</v>
      </c>
      <c r="AS47" s="1" t="s">
        <v>43</v>
      </c>
    </row>
    <row r="48" spans="1:45" x14ac:dyDescent="0.25">
      <c r="B48" s="1"/>
      <c r="C48" s="1"/>
      <c r="E48" s="1"/>
      <c r="F48" s="1">
        <v>17.15774</v>
      </c>
      <c r="G48" s="1">
        <v>7.7472000000000003</v>
      </c>
      <c r="H48" s="1">
        <v>11.605260000000001</v>
      </c>
      <c r="I48" s="1">
        <v>14.376539999999999</v>
      </c>
      <c r="J48" s="1">
        <v>13.27402</v>
      </c>
      <c r="K48" s="1">
        <v>8.7216000000000005</v>
      </c>
      <c r="L48" s="1">
        <v>7.1029200000000001</v>
      </c>
      <c r="M48" s="1">
        <v>10.4619</v>
      </c>
      <c r="N48" s="1">
        <v>1.03712</v>
      </c>
      <c r="O48" s="1">
        <v>0</v>
      </c>
      <c r="P48">
        <v>0</v>
      </c>
      <c r="Q48">
        <v>6.4813200000000002</v>
      </c>
      <c r="R48">
        <v>6.44</v>
      </c>
      <c r="S48">
        <v>6.4823599999999999</v>
      </c>
      <c r="T48">
        <v>0</v>
      </c>
      <c r="U48">
        <v>3.9820000000000002</v>
      </c>
      <c r="V48" s="42">
        <v>3.976</v>
      </c>
      <c r="W48">
        <v>8.2992349999999995</v>
      </c>
      <c r="X48">
        <v>8.6029799999999987</v>
      </c>
      <c r="Y48">
        <v>5.4847200000000003</v>
      </c>
      <c r="Z48">
        <v>0</v>
      </c>
      <c r="AA48">
        <v>1.38436</v>
      </c>
      <c r="AB48">
        <v>0</v>
      </c>
      <c r="AC48">
        <v>0</v>
      </c>
      <c r="AD48">
        <v>3.560406</v>
      </c>
      <c r="AE48">
        <v>0.74439999999999995</v>
      </c>
      <c r="AF48">
        <v>6.4970800000000004</v>
      </c>
      <c r="AG48">
        <v>4.0999999999999996</v>
      </c>
      <c r="AH48">
        <v>2.08324</v>
      </c>
      <c r="AN48">
        <v>0.18071200000000001</v>
      </c>
      <c r="AO48">
        <v>0.71647099999999997</v>
      </c>
      <c r="AP48">
        <v>6.2468950000000003</v>
      </c>
      <c r="AQ48">
        <v>0</v>
      </c>
      <c r="AR48">
        <v>0</v>
      </c>
      <c r="AS48">
        <v>4.9383540000000004</v>
      </c>
    </row>
    <row r="54" spans="1:11" x14ac:dyDescent="0.25">
      <c r="A54" s="20" t="s">
        <v>17</v>
      </c>
      <c r="B54" s="89" t="s">
        <v>18</v>
      </c>
      <c r="C54" s="89" t="s">
        <v>87</v>
      </c>
      <c r="D54" s="89" t="s">
        <v>86</v>
      </c>
      <c r="E54" s="146" t="s">
        <v>20</v>
      </c>
      <c r="F54" s="146"/>
      <c r="G54" s="89" t="s">
        <v>88</v>
      </c>
    </row>
    <row r="55" spans="1:11" x14ac:dyDescent="0.25">
      <c r="A55" s="23" t="s">
        <v>21</v>
      </c>
      <c r="B55" s="24"/>
      <c r="C55" s="24"/>
      <c r="D55" s="24"/>
      <c r="E55" s="24"/>
      <c r="F55" s="24"/>
      <c r="G55" s="24"/>
    </row>
    <row r="56" spans="1:11" x14ac:dyDescent="0.25">
      <c r="A56" s="25" t="s">
        <v>27</v>
      </c>
      <c r="B56" s="36" t="s">
        <v>32</v>
      </c>
      <c r="C56" s="37"/>
      <c r="D56" s="37"/>
      <c r="E56" s="28" t="str">
        <f>IF(OR(F56="=",F56="≈",F56="—"),"",IF(F56&gt;0,"",IF(F56&lt;0,"","")))</f>
        <v/>
      </c>
      <c r="F56" s="29" t="str">
        <f>IFERROR(IF(C56/D56-1=0,"=",IF(C56/X59-1=-1,"—",IF(OR(AND(C56/X59-1&lt;0.005,C56/X59-1&gt;0), AND(C56/X59-1&lt;0,C56/X59-1&gt;-0.005)),"≈",C56/X59-1))),"—")</f>
        <v>—</v>
      </c>
      <c r="G56" s="37">
        <v>2.9727999999999999</v>
      </c>
    </row>
    <row r="57" spans="1:11" x14ac:dyDescent="0.25">
      <c r="A57" s="35" t="s">
        <v>30</v>
      </c>
      <c r="B57" s="36" t="s">
        <v>32</v>
      </c>
      <c r="C57" s="37">
        <v>3.9820000000000002</v>
      </c>
      <c r="D57" s="37"/>
      <c r="E57" s="28" t="str">
        <f>IF(OR(F57="=",F57="≈",F57="—"),"",IF(F57&gt;0,"",IF(F57&lt;0,"","")))</f>
        <v/>
      </c>
      <c r="F57" s="29" t="str">
        <f>IFERROR(IF(C57/D57-1=0,"=",IF(C57/X62-1=-1,"—",IF(OR(AND(C57/X62-1&lt;0.005,C57/X62-1&gt;0), AND(C57/X62-1&lt;0,C57/X62-1&gt;-0.005)),"≈",C57/X62-1))),"—")</f>
        <v>—</v>
      </c>
      <c r="G57" s="37">
        <v>7.4915599999999998</v>
      </c>
    </row>
    <row r="58" spans="1:11" x14ac:dyDescent="0.25">
      <c r="A58" s="40" t="s">
        <v>25</v>
      </c>
      <c r="B58" s="41"/>
      <c r="C58" s="42">
        <v>3.9820000000000002</v>
      </c>
      <c r="D58" s="42">
        <v>0</v>
      </c>
      <c r="E58" s="33" t="str">
        <f>IF(OR(F58="=",F58="≈",F58="—"),"",IF(F58&gt;0,"",IF(F58&lt;0,"","")))</f>
        <v/>
      </c>
      <c r="F58" s="39" t="str">
        <f>IFERROR(IF(C58/D58-1=0,"=",IF(C58/X64-1=-1,"—",IF(OR(AND(C58/X64-1&lt;0.005,C58/X64-1&gt;0), AND(C58/X64-1&lt;0,C58/X64-1&gt;-0.005)),"≈",C58/X64-1))),"—")</f>
        <v>—</v>
      </c>
      <c r="G58" s="42">
        <v>10.464359999999999</v>
      </c>
    </row>
    <row r="59" spans="1:11" x14ac:dyDescent="0.25">
      <c r="A59" s="1"/>
      <c r="B59" s="1"/>
      <c r="C59" s="1"/>
      <c r="E59" s="1"/>
      <c r="F59" s="1"/>
      <c r="G59" s="1"/>
    </row>
    <row r="60" spans="1:11" x14ac:dyDescent="0.25">
      <c r="A60" s="1"/>
      <c r="B60" s="1"/>
      <c r="C60" s="1"/>
      <c r="E60" s="1"/>
      <c r="F60" s="1"/>
      <c r="G60" s="1"/>
    </row>
    <row r="61" spans="1:11" x14ac:dyDescent="0.25">
      <c r="A61" s="1"/>
      <c r="B61" s="1"/>
      <c r="C61" s="1"/>
      <c r="E61" s="1"/>
      <c r="F61" s="1"/>
      <c r="G61" s="1"/>
    </row>
    <row r="62" spans="1:11" x14ac:dyDescent="0.25">
      <c r="A62" s="20" t="s">
        <v>17</v>
      </c>
      <c r="B62" s="92" t="s">
        <v>18</v>
      </c>
      <c r="C62" s="22" t="s">
        <v>35</v>
      </c>
      <c r="D62" s="66" t="s">
        <v>19</v>
      </c>
      <c r="E62" s="77" t="s">
        <v>78</v>
      </c>
      <c r="F62" s="80" t="s">
        <v>79</v>
      </c>
      <c r="G62" s="82" t="s">
        <v>80</v>
      </c>
      <c r="H62" s="82" t="s">
        <v>81</v>
      </c>
      <c r="I62" s="84" t="s">
        <v>81</v>
      </c>
      <c r="J62" s="80" t="s">
        <v>82</v>
      </c>
      <c r="K62" s="87" t="s">
        <v>83</v>
      </c>
    </row>
    <row r="63" spans="1:11" x14ac:dyDescent="0.25">
      <c r="A63" s="23" t="s">
        <v>21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x14ac:dyDescent="0.25">
      <c r="A64" s="25" t="s">
        <v>27</v>
      </c>
      <c r="B64" s="26" t="s">
        <v>28</v>
      </c>
      <c r="C64" s="27">
        <v>1.5035000000000001</v>
      </c>
      <c r="D64" s="27">
        <v>5.6481599999999998</v>
      </c>
      <c r="E64" s="27"/>
      <c r="F64" s="27"/>
      <c r="G64" s="27"/>
      <c r="H64" s="27"/>
      <c r="I64" s="27"/>
      <c r="J64" s="27"/>
      <c r="K64" s="27">
        <v>21.592779999999998</v>
      </c>
    </row>
    <row r="65" spans="1:11" x14ac:dyDescent="0.25">
      <c r="A65" s="35"/>
      <c r="B65" s="36" t="s">
        <v>29</v>
      </c>
      <c r="C65" s="37">
        <v>3.5122399999999998</v>
      </c>
      <c r="D65" s="37">
        <v>3.0068800000000002</v>
      </c>
      <c r="E65" s="37">
        <v>1.03712</v>
      </c>
      <c r="F65" s="37"/>
      <c r="G65" s="37"/>
      <c r="H65" s="37"/>
      <c r="I65" s="37"/>
      <c r="J65" s="37"/>
      <c r="K65" s="37">
        <v>21.979139999999997</v>
      </c>
    </row>
    <row r="66" spans="1:11" x14ac:dyDescent="0.25">
      <c r="A66" s="35"/>
      <c r="B66" s="36" t="s">
        <v>22</v>
      </c>
      <c r="C66" s="37"/>
      <c r="D66" s="37"/>
      <c r="E66" s="37"/>
      <c r="F66" s="37"/>
      <c r="G66" s="37"/>
      <c r="H66" s="37"/>
      <c r="I66" s="37"/>
      <c r="J66" s="37"/>
      <c r="K66" s="37">
        <v>1.98644</v>
      </c>
    </row>
    <row r="67" spans="1:11" x14ac:dyDescent="0.25">
      <c r="A67" s="35"/>
      <c r="B67" s="36" t="s">
        <v>32</v>
      </c>
      <c r="C67" s="37"/>
      <c r="D67" s="37"/>
      <c r="E67" s="37"/>
      <c r="F67" s="37"/>
      <c r="G67" s="37"/>
      <c r="H67" s="37"/>
      <c r="I67" s="37"/>
      <c r="J67" s="37">
        <v>2.9449999999999998</v>
      </c>
      <c r="K67" s="37">
        <v>2.9449999999999998</v>
      </c>
    </row>
    <row r="68" spans="1:11" x14ac:dyDescent="0.25">
      <c r="A68" s="30" t="s">
        <v>33</v>
      </c>
      <c r="B68" s="31" t="s">
        <v>34</v>
      </c>
      <c r="C68" s="32"/>
      <c r="D68" s="32"/>
      <c r="E68" s="32"/>
      <c r="F68" s="32"/>
      <c r="G68" s="32"/>
      <c r="H68" s="32"/>
      <c r="I68" s="32"/>
      <c r="J68" s="32"/>
      <c r="K68" s="32">
        <v>0.69162000000000001</v>
      </c>
    </row>
    <row r="69" spans="1:11" x14ac:dyDescent="0.25">
      <c r="A69" s="35" t="s">
        <v>30</v>
      </c>
      <c r="B69" s="36" t="s">
        <v>31</v>
      </c>
      <c r="C69" s="37"/>
      <c r="D69" s="37">
        <v>1.8068599999999999</v>
      </c>
      <c r="E69" s="37"/>
      <c r="F69" s="37"/>
      <c r="G69" s="37"/>
      <c r="H69" s="37"/>
      <c r="I69" s="37"/>
      <c r="J69" s="37"/>
      <c r="K69" s="37">
        <v>9.8141400000000001</v>
      </c>
    </row>
    <row r="70" spans="1:11" x14ac:dyDescent="0.25">
      <c r="A70" s="35"/>
      <c r="B70" s="36" t="s">
        <v>32</v>
      </c>
      <c r="C70" s="37">
        <v>2.08718</v>
      </c>
      <c r="D70" s="37"/>
      <c r="E70" s="37"/>
      <c r="F70" s="37"/>
      <c r="G70" s="37"/>
      <c r="H70" s="37">
        <v>6.4813200000000002</v>
      </c>
      <c r="I70" s="37">
        <v>6.4813200000000002</v>
      </c>
      <c r="J70" s="37">
        <v>3.4990000000000001</v>
      </c>
      <c r="K70" s="37">
        <v>24.096399999999999</v>
      </c>
    </row>
    <row r="71" spans="1:11" x14ac:dyDescent="0.25">
      <c r="A71" s="35"/>
      <c r="B71" s="36" t="s">
        <v>29</v>
      </c>
      <c r="C71" s="37"/>
      <c r="D71" s="37"/>
      <c r="E71" s="37"/>
      <c r="F71" s="37"/>
      <c r="G71" s="37"/>
      <c r="H71" s="37"/>
      <c r="I71" s="37"/>
      <c r="J71" s="37"/>
      <c r="K71" s="37">
        <v>4.1463599999999996</v>
      </c>
    </row>
    <row r="72" spans="1:11" x14ac:dyDescent="0.25">
      <c r="A72" s="40" t="s">
        <v>25</v>
      </c>
      <c r="B72" s="41"/>
      <c r="C72" s="42">
        <v>7.1029200000000001</v>
      </c>
      <c r="D72" s="42">
        <v>10.4619</v>
      </c>
      <c r="E72" s="42">
        <v>1.03712</v>
      </c>
      <c r="F72" s="42">
        <v>0</v>
      </c>
      <c r="G72" s="42">
        <v>0</v>
      </c>
      <c r="H72" s="42">
        <v>6.4813200000000002</v>
      </c>
      <c r="I72" s="42">
        <v>6.4813200000000002</v>
      </c>
      <c r="J72" s="42">
        <v>6.444</v>
      </c>
      <c r="K72" s="42">
        <v>87.25188</v>
      </c>
    </row>
  </sheetData>
  <mergeCells count="2">
    <mergeCell ref="E27:F27"/>
    <mergeCell ref="E54:F54"/>
  </mergeCells>
  <conditionalFormatting sqref="E29 E56">
    <cfRule type="containsText" dxfId="49" priority="49" operator="containsText" text="">
      <formula>NOT(ISERROR(SEARCH("",E29)))</formula>
    </cfRule>
    <cfRule type="containsText" dxfId="48" priority="50" operator="containsText" text="">
      <formula>NOT(ISERROR(SEARCH("",E29)))</formula>
    </cfRule>
  </conditionalFormatting>
  <conditionalFormatting sqref="E33">
    <cfRule type="containsText" dxfId="47" priority="47" operator="containsText" text="">
      <formula>NOT(ISERROR(SEARCH("",E33)))</formula>
    </cfRule>
    <cfRule type="containsText" dxfId="46" priority="48" operator="containsText" text="">
      <formula>NOT(ISERROR(SEARCH("",E33)))</formula>
    </cfRule>
  </conditionalFormatting>
  <conditionalFormatting sqref="E30">
    <cfRule type="containsText" dxfId="45" priority="29" operator="containsText" text="">
      <formula>NOT(ISERROR(SEARCH("",E30)))</formula>
    </cfRule>
    <cfRule type="containsText" dxfId="44" priority="30" operator="containsText" text="">
      <formula>NOT(ISERROR(SEARCH("",E30)))</formula>
    </cfRule>
  </conditionalFormatting>
  <conditionalFormatting sqref="E31:E32">
    <cfRule type="containsText" dxfId="43" priority="27" operator="containsText" text="">
      <formula>NOT(ISERROR(SEARCH("",E31)))</formula>
    </cfRule>
    <cfRule type="containsText" dxfId="42" priority="28" operator="containsText" text="">
      <formula>NOT(ISERROR(SEARCH("",E31)))</formula>
    </cfRule>
  </conditionalFormatting>
  <conditionalFormatting sqref="E34">
    <cfRule type="containsText" dxfId="41" priority="25" operator="containsText" text="">
      <formula>NOT(ISERROR(SEARCH("",E34)))</formula>
    </cfRule>
    <cfRule type="containsText" dxfId="40" priority="26" operator="containsText" text="">
      <formula>NOT(ISERROR(SEARCH("",E34)))</formula>
    </cfRule>
  </conditionalFormatting>
  <conditionalFormatting sqref="E35">
    <cfRule type="containsText" dxfId="39" priority="23" operator="containsText" text="">
      <formula>NOT(ISERROR(SEARCH("",E35)))</formula>
    </cfRule>
    <cfRule type="containsText" dxfId="38" priority="24" operator="containsText" text="">
      <formula>NOT(ISERROR(SEARCH("",E35)))</formula>
    </cfRule>
  </conditionalFormatting>
  <conditionalFormatting sqref="E36:E37">
    <cfRule type="containsText" dxfId="37" priority="21" operator="containsText" text="">
      <formula>NOT(ISERROR(SEARCH("",E36)))</formula>
    </cfRule>
    <cfRule type="containsText" dxfId="36" priority="22" operator="containsText" text="">
      <formula>NOT(ISERROR(SEARCH("",E36)))</formula>
    </cfRule>
  </conditionalFormatting>
  <conditionalFormatting sqref="E38">
    <cfRule type="containsText" dxfId="35" priority="17" operator="containsText" text="">
      <formula>NOT(ISERROR(SEARCH("",E38)))</formula>
    </cfRule>
    <cfRule type="containsText" dxfId="34" priority="18" operator="containsText" text="">
      <formula>NOT(ISERROR(SEARCH("",E38)))</formula>
    </cfRule>
  </conditionalFormatting>
  <conditionalFormatting sqref="E58">
    <cfRule type="containsText" dxfId="33" priority="1" operator="containsText" text="">
      <formula>NOT(ISERROR(SEARCH("",E58)))</formula>
    </cfRule>
    <cfRule type="containsText" dxfId="32" priority="2" operator="containsText" text="">
      <formula>NOT(ISERROR(SEARCH("",E58)))</formula>
    </cfRule>
  </conditionalFormatting>
  <conditionalFormatting sqref="E57">
    <cfRule type="containsText" dxfId="31" priority="5" operator="containsText" text="">
      <formula>NOT(ISERROR(SEARCH("",E57)))</formula>
    </cfRule>
    <cfRule type="containsText" dxfId="30" priority="6" operator="containsText" text="">
      <formula>NOT(ISERROR(SEARCH("",E57)))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9"/>
  <sheetViews>
    <sheetView tabSelected="1" topLeftCell="A13" workbookViewId="0">
      <selection activeCell="H24" sqref="H24"/>
    </sheetView>
  </sheetViews>
  <sheetFormatPr defaultRowHeight="15" x14ac:dyDescent="0.25"/>
  <cols>
    <col min="1" max="1" width="31.7109375" bestFit="1" customWidth="1"/>
    <col min="5" max="5" width="8.42578125" customWidth="1"/>
    <col min="6" max="6" width="10.7109375" customWidth="1"/>
  </cols>
  <sheetData>
    <row r="1" spans="1:15" x14ac:dyDescent="0.25">
      <c r="A1" s="44" t="s">
        <v>48</v>
      </c>
      <c r="B1" s="44"/>
      <c r="C1" s="44"/>
      <c r="D1" s="44"/>
      <c r="E1" s="45"/>
      <c r="F1" s="45"/>
      <c r="G1" s="45"/>
      <c r="H1" s="45"/>
      <c r="I1" s="45"/>
      <c r="J1" s="45"/>
      <c r="K1" s="44"/>
      <c r="L1" s="44"/>
      <c r="M1" s="44"/>
    </row>
    <row r="2" spans="1:15" x14ac:dyDescent="0.25">
      <c r="A2" s="67" t="s">
        <v>49</v>
      </c>
      <c r="B2" s="68">
        <v>44774</v>
      </c>
      <c r="C2" s="68">
        <v>44743</v>
      </c>
      <c r="D2" s="68">
        <v>44713</v>
      </c>
      <c r="E2" s="45"/>
      <c r="F2" s="45"/>
      <c r="G2" s="47" t="s">
        <v>50</v>
      </c>
      <c r="H2" s="47" t="s">
        <v>51</v>
      </c>
      <c r="I2" s="47" t="s">
        <v>52</v>
      </c>
      <c r="J2" s="48" t="s">
        <v>53</v>
      </c>
      <c r="K2" s="46">
        <v>44593</v>
      </c>
      <c r="L2" s="46">
        <v>44621</v>
      </c>
      <c r="M2" s="46">
        <v>44652</v>
      </c>
    </row>
    <row r="3" spans="1:15" x14ac:dyDescent="0.25">
      <c r="A3" s="69" t="s">
        <v>3</v>
      </c>
      <c r="B3" s="70"/>
      <c r="C3" s="70"/>
      <c r="D3" s="70"/>
      <c r="E3" s="45"/>
      <c r="F3" s="45"/>
      <c r="G3" s="50"/>
      <c r="H3" s="50"/>
      <c r="I3" s="51"/>
      <c r="J3" s="51"/>
      <c r="K3" s="49"/>
      <c r="L3" s="49"/>
      <c r="M3" s="49"/>
    </row>
    <row r="4" spans="1:15" x14ac:dyDescent="0.25">
      <c r="A4" s="71"/>
      <c r="B4" s="72">
        <v>219.58830499999999</v>
      </c>
      <c r="C4" s="72">
        <v>209.21610200000001</v>
      </c>
      <c r="D4" s="72">
        <v>205.735298</v>
      </c>
      <c r="E4" s="45"/>
      <c r="F4" s="45"/>
      <c r="G4" s="52">
        <f>SUM(G5:G18)</f>
        <v>231.67468699999998</v>
      </c>
      <c r="H4" s="52">
        <f>SUM(H5:H18)</f>
        <v>256.26907499999999</v>
      </c>
      <c r="I4" s="52">
        <f>SUM(I5:I18)</f>
        <v>271.65550100000002</v>
      </c>
      <c r="J4" s="52">
        <f>SUM(J5:J18)</f>
        <v>267.61120299999999</v>
      </c>
      <c r="K4" s="52">
        <f>SUM(K5:K18)</f>
        <v>250.83699999999996</v>
      </c>
      <c r="L4" s="52">
        <v>250.92086400000002</v>
      </c>
      <c r="M4" s="52">
        <v>211.35694799999996</v>
      </c>
      <c r="O4" s="43">
        <f>J4+K4+L4+M4+D4+C4+B4</f>
        <v>1615.2657200000001</v>
      </c>
    </row>
    <row r="5" spans="1:15" x14ac:dyDescent="0.25">
      <c r="A5" s="73" t="s">
        <v>54</v>
      </c>
      <c r="B5" s="74">
        <v>27.103119</v>
      </c>
      <c r="C5" s="74">
        <v>26.959914999999999</v>
      </c>
      <c r="D5" s="74">
        <v>26.313594999999999</v>
      </c>
      <c r="E5" s="45"/>
      <c r="F5" s="45"/>
      <c r="G5" s="53">
        <v>20.89</v>
      </c>
      <c r="H5" s="53">
        <v>27.850999999999999</v>
      </c>
      <c r="I5" s="53">
        <v>27.975999999999999</v>
      </c>
      <c r="J5" s="53">
        <v>28.780999999999999</v>
      </c>
      <c r="K5" s="53">
        <v>25.709</v>
      </c>
      <c r="L5" s="53">
        <v>27.81</v>
      </c>
      <c r="M5" s="53">
        <v>25.26</v>
      </c>
      <c r="O5" s="43">
        <f t="shared" ref="O5:O18" si="0">J5+K5+L5+M5+D5+C5+B5</f>
        <v>187.93662899999998</v>
      </c>
    </row>
    <row r="6" spans="1:15" x14ac:dyDescent="0.25">
      <c r="A6" s="73" t="s">
        <v>55</v>
      </c>
      <c r="B6" s="74">
        <v>9.9185999999999996</v>
      </c>
      <c r="C6" s="74">
        <v>9.2060999999999993</v>
      </c>
      <c r="D6" s="74">
        <v>9.3188999999999993</v>
      </c>
      <c r="E6" s="45"/>
      <c r="F6" s="45"/>
      <c r="G6" s="53">
        <v>4.3710000000000004</v>
      </c>
      <c r="H6" s="53">
        <v>4.915</v>
      </c>
      <c r="I6" s="53">
        <v>11.349</v>
      </c>
      <c r="J6" s="53">
        <v>10.967599999999999</v>
      </c>
      <c r="K6" s="53">
        <v>11</v>
      </c>
      <c r="L6" s="53">
        <v>10.561</v>
      </c>
      <c r="M6" s="53">
        <v>11.017899999999999</v>
      </c>
      <c r="O6" s="43">
        <f t="shared" si="0"/>
        <v>71.990099999999998</v>
      </c>
    </row>
    <row r="7" spans="1:15" x14ac:dyDescent="0.25">
      <c r="A7" s="73" t="s">
        <v>56</v>
      </c>
      <c r="B7" s="74">
        <v>20.574919999999999</v>
      </c>
      <c r="C7" s="74">
        <v>24.627880000000001</v>
      </c>
      <c r="D7" s="74">
        <v>28.326000000000001</v>
      </c>
      <c r="E7" s="45" t="s">
        <v>57</v>
      </c>
      <c r="F7" s="45"/>
      <c r="G7" s="53">
        <v>27.167999999999999</v>
      </c>
      <c r="H7" s="53">
        <v>26.56</v>
      </c>
      <c r="I7" s="53">
        <v>26.957999999999998</v>
      </c>
      <c r="J7" s="53">
        <v>27.157</v>
      </c>
      <c r="K7" s="53">
        <v>31.408000000000001</v>
      </c>
      <c r="L7" s="53">
        <v>21.899000000000001</v>
      </c>
      <c r="M7" s="53">
        <v>29.327000000000002</v>
      </c>
      <c r="O7" s="43">
        <f t="shared" si="0"/>
        <v>183.31979999999999</v>
      </c>
    </row>
    <row r="8" spans="1:15" x14ac:dyDescent="0.25">
      <c r="A8" s="73" t="s">
        <v>58</v>
      </c>
      <c r="B8" s="74">
        <v>13.712026</v>
      </c>
      <c r="C8" s="74">
        <v>14.395346999999999</v>
      </c>
      <c r="D8" s="74">
        <v>13.246483</v>
      </c>
      <c r="E8" s="45"/>
      <c r="F8" s="45"/>
      <c r="G8" s="53">
        <v>12.447797</v>
      </c>
      <c r="H8" s="53">
        <v>13.770205000000001</v>
      </c>
      <c r="I8" s="53">
        <v>15.497801000000001</v>
      </c>
      <c r="J8" s="53">
        <v>14.223233</v>
      </c>
      <c r="K8" s="53">
        <v>14.792999999999999</v>
      </c>
      <c r="L8" s="53">
        <v>15.229454</v>
      </c>
      <c r="M8" s="53">
        <v>12.419207999999999</v>
      </c>
      <c r="O8" s="43">
        <f t="shared" si="0"/>
        <v>98.018750999999995</v>
      </c>
    </row>
    <row r="9" spans="1:15" x14ac:dyDescent="0.25">
      <c r="A9" s="73" t="s">
        <v>6</v>
      </c>
      <c r="B9" s="74">
        <v>11.8599</v>
      </c>
      <c r="C9" s="74">
        <v>13.061500000000001</v>
      </c>
      <c r="D9" s="74">
        <v>13.8292</v>
      </c>
      <c r="E9" s="45"/>
      <c r="F9" s="45"/>
      <c r="G9" s="53">
        <v>15.8895</v>
      </c>
      <c r="H9" s="53">
        <v>14.958299999999999</v>
      </c>
      <c r="I9" s="53">
        <v>16.253399999999999</v>
      </c>
      <c r="J9" s="53">
        <v>15.9909</v>
      </c>
      <c r="K9" s="53">
        <v>14.281000000000001</v>
      </c>
      <c r="L9" s="53">
        <v>16.2347</v>
      </c>
      <c r="M9" s="53">
        <v>15.4018</v>
      </c>
      <c r="O9" s="43">
        <f t="shared" si="0"/>
        <v>100.65900000000001</v>
      </c>
    </row>
    <row r="10" spans="1:15" x14ac:dyDescent="0.25">
      <c r="A10" s="73" t="s">
        <v>59</v>
      </c>
      <c r="B10" s="74">
        <v>80.6858</v>
      </c>
      <c r="C10" s="74">
        <v>67.945899999999995</v>
      </c>
      <c r="D10" s="74">
        <v>50.931800000000003</v>
      </c>
      <c r="E10" s="45"/>
      <c r="F10" s="45"/>
      <c r="G10" s="53">
        <v>83.706599999999995</v>
      </c>
      <c r="H10" s="53">
        <v>92.785700000000006</v>
      </c>
      <c r="I10" s="53">
        <v>95.886399999999995</v>
      </c>
      <c r="J10" s="53">
        <v>93.101399999999998</v>
      </c>
      <c r="K10" s="53">
        <v>81.966999999999999</v>
      </c>
      <c r="L10" s="53">
        <v>90.511099999999999</v>
      </c>
      <c r="M10" s="53">
        <v>47.233499999999999</v>
      </c>
      <c r="O10" s="43">
        <f t="shared" si="0"/>
        <v>512.37649999999996</v>
      </c>
    </row>
    <row r="11" spans="1:15" x14ac:dyDescent="0.25">
      <c r="A11" s="73" t="s">
        <v>11</v>
      </c>
      <c r="B11" s="74">
        <v>9.9990000000000006</v>
      </c>
      <c r="C11" s="74">
        <v>0</v>
      </c>
      <c r="D11" s="74">
        <v>7.6420000000000003</v>
      </c>
      <c r="E11" s="45"/>
      <c r="F11" s="45"/>
      <c r="G11" s="53">
        <v>10.456</v>
      </c>
      <c r="H11" s="53">
        <v>11.2</v>
      </c>
      <c r="I11" s="53">
        <v>12.019</v>
      </c>
      <c r="J11" s="53">
        <v>11.705</v>
      </c>
      <c r="K11" s="53">
        <v>10.631</v>
      </c>
      <c r="L11" s="53">
        <v>10.933</v>
      </c>
      <c r="M11" s="53">
        <v>10.441000000000001</v>
      </c>
      <c r="O11" s="43">
        <f t="shared" si="0"/>
        <v>61.351000000000006</v>
      </c>
    </row>
    <row r="12" spans="1:15" x14ac:dyDescent="0.25">
      <c r="A12" s="73" t="s">
        <v>60</v>
      </c>
      <c r="B12" s="74">
        <v>5.1260000000000012</v>
      </c>
      <c r="C12" s="74">
        <v>4.6806000000000001</v>
      </c>
      <c r="D12" s="74">
        <v>4.469599999999998</v>
      </c>
      <c r="E12" s="45"/>
      <c r="F12" s="45"/>
      <c r="G12" s="53">
        <v>3.7808000000000002</v>
      </c>
      <c r="H12" s="53">
        <v>2.7806000000000002</v>
      </c>
      <c r="I12" s="53">
        <v>3.8677000000000001</v>
      </c>
      <c r="J12" s="53">
        <v>4.9629000000000003</v>
      </c>
      <c r="K12" s="53">
        <v>5.0359999999999978</v>
      </c>
      <c r="L12" s="53">
        <v>3.6951999999999998</v>
      </c>
      <c r="M12" s="53">
        <v>4.6713999999999984</v>
      </c>
      <c r="O12" s="43">
        <f t="shared" si="0"/>
        <v>32.6417</v>
      </c>
    </row>
    <row r="13" spans="1:15" x14ac:dyDescent="0.25">
      <c r="A13" s="73" t="s">
        <v>61</v>
      </c>
      <c r="B13" s="74">
        <v>14.548999999999999</v>
      </c>
      <c r="C13" s="74">
        <v>14.308999999999999</v>
      </c>
      <c r="D13" s="74">
        <v>15.464</v>
      </c>
      <c r="E13" s="45"/>
      <c r="F13" s="45"/>
      <c r="G13" s="53">
        <v>9.9179999999999993</v>
      </c>
      <c r="H13" s="53">
        <v>16.896000000000001</v>
      </c>
      <c r="I13" s="53">
        <v>16.867999999999999</v>
      </c>
      <c r="J13" s="53">
        <v>16.904</v>
      </c>
      <c r="K13" s="53">
        <v>15.48</v>
      </c>
      <c r="L13" s="53">
        <v>17.332000000000001</v>
      </c>
      <c r="M13" s="53">
        <v>16.704000000000001</v>
      </c>
      <c r="O13" s="43">
        <f t="shared" si="0"/>
        <v>110.74199999999999</v>
      </c>
    </row>
    <row r="14" spans="1:15" x14ac:dyDescent="0.25">
      <c r="A14" s="73" t="s">
        <v>62</v>
      </c>
      <c r="B14" s="74">
        <v>0.25736999999999999</v>
      </c>
      <c r="C14" s="74">
        <v>13.41006</v>
      </c>
      <c r="D14" s="74">
        <v>12.770519999999999</v>
      </c>
      <c r="E14" s="45"/>
      <c r="F14" s="45"/>
      <c r="G14" s="53">
        <v>14.666689999999999</v>
      </c>
      <c r="H14" s="53">
        <v>14.423970000000001</v>
      </c>
      <c r="I14" s="53">
        <v>14.9185</v>
      </c>
      <c r="J14" s="53">
        <v>14.07427</v>
      </c>
      <c r="K14" s="53">
        <v>12.605</v>
      </c>
      <c r="L14" s="53">
        <v>13.03631</v>
      </c>
      <c r="M14" s="53">
        <v>12.52074</v>
      </c>
      <c r="O14" s="43">
        <f t="shared" si="0"/>
        <v>78.674270000000007</v>
      </c>
    </row>
    <row r="15" spans="1:15" x14ac:dyDescent="0.25">
      <c r="A15" s="73" t="s">
        <v>63</v>
      </c>
      <c r="B15" s="74">
        <v>10.804</v>
      </c>
      <c r="C15" s="74">
        <v>11.788000000000002</v>
      </c>
      <c r="D15" s="74">
        <v>11.962999999999999</v>
      </c>
      <c r="E15" s="45"/>
      <c r="F15" s="45"/>
      <c r="G15" s="53">
        <v>13.946</v>
      </c>
      <c r="H15" s="53">
        <v>14.228</v>
      </c>
      <c r="I15" s="53">
        <v>14.356999999999999</v>
      </c>
      <c r="J15" s="53">
        <v>14.205</v>
      </c>
      <c r="K15" s="53">
        <v>13.778000000000002</v>
      </c>
      <c r="L15" s="53">
        <v>7.5730000000000004</v>
      </c>
      <c r="M15" s="53">
        <v>13.228</v>
      </c>
      <c r="O15" s="43">
        <f t="shared" si="0"/>
        <v>83.339000000000013</v>
      </c>
    </row>
    <row r="16" spans="1:15" x14ac:dyDescent="0.25">
      <c r="A16" s="73" t="s">
        <v>64</v>
      </c>
      <c r="B16" s="74">
        <v>8.3841699999999992</v>
      </c>
      <c r="C16" s="74">
        <v>4.4198000000000004</v>
      </c>
      <c r="D16" s="74">
        <v>5.1759000000000004</v>
      </c>
      <c r="E16" s="45"/>
      <c r="F16" s="45"/>
      <c r="G16" s="53">
        <v>7.9059999999999997</v>
      </c>
      <c r="H16" s="53">
        <v>8.0606000000000009</v>
      </c>
      <c r="I16" s="53">
        <v>7.4188000000000001</v>
      </c>
      <c r="J16" s="53">
        <v>6.9378000000000002</v>
      </c>
      <c r="K16" s="53">
        <v>6.98</v>
      </c>
      <c r="L16" s="53">
        <v>8.1905000000000001</v>
      </c>
      <c r="M16" s="53">
        <v>6.6673999999999998</v>
      </c>
      <c r="O16" s="43">
        <f t="shared" si="0"/>
        <v>46.755569999999999</v>
      </c>
    </row>
    <row r="17" spans="1:54" x14ac:dyDescent="0.25">
      <c r="A17" s="73" t="s">
        <v>65</v>
      </c>
      <c r="B17" s="74">
        <v>2.3115000000000001</v>
      </c>
      <c r="C17" s="74">
        <v>0</v>
      </c>
      <c r="D17" s="74">
        <v>1.9733000000000001</v>
      </c>
      <c r="E17" s="45"/>
      <c r="F17" s="45"/>
      <c r="G17" s="53">
        <v>3.4333</v>
      </c>
      <c r="H17" s="53">
        <v>3.2888999999999999</v>
      </c>
      <c r="I17" s="53">
        <v>3.6086999999999998</v>
      </c>
      <c r="J17" s="53">
        <v>3.5093000000000001</v>
      </c>
      <c r="K17" s="53">
        <v>2.85</v>
      </c>
      <c r="L17" s="53">
        <v>3.1314000000000002</v>
      </c>
      <c r="M17" s="53">
        <v>2.1315</v>
      </c>
      <c r="O17" s="43">
        <f t="shared" si="0"/>
        <v>15.907</v>
      </c>
    </row>
    <row r="18" spans="1:54" x14ac:dyDescent="0.25">
      <c r="A18" s="73" t="s">
        <v>66</v>
      </c>
      <c r="B18" s="74">
        <v>4.3029000000000002</v>
      </c>
      <c r="C18" s="74">
        <v>4.4119999999999999</v>
      </c>
      <c r="D18" s="74">
        <v>4.3109999999999999</v>
      </c>
      <c r="E18" s="45"/>
      <c r="F18" s="45"/>
      <c r="G18" s="53">
        <v>3.0950000000000002</v>
      </c>
      <c r="H18" s="53">
        <v>4.5507999999999997</v>
      </c>
      <c r="I18" s="53">
        <v>4.6772</v>
      </c>
      <c r="J18" s="53">
        <v>5.0918000000000001</v>
      </c>
      <c r="K18" s="53">
        <v>4.319</v>
      </c>
      <c r="L18" s="53">
        <v>4.7842000000000002</v>
      </c>
      <c r="M18" s="53">
        <v>4.3334999999999999</v>
      </c>
      <c r="O18" s="43">
        <f t="shared" si="0"/>
        <v>31.554400000000001</v>
      </c>
    </row>
    <row r="22" spans="1:54" ht="18" x14ac:dyDescent="0.25">
      <c r="A22" s="54" t="s">
        <v>70</v>
      </c>
      <c r="B22" s="1"/>
      <c r="C22" s="1"/>
      <c r="D22" s="1"/>
      <c r="E22" s="1"/>
      <c r="F22" s="1"/>
    </row>
    <row r="23" spans="1:54" x14ac:dyDescent="0.25">
      <c r="A23" s="20" t="s">
        <v>17</v>
      </c>
      <c r="B23" s="55" t="s">
        <v>128</v>
      </c>
      <c r="C23" s="139" t="s">
        <v>127</v>
      </c>
      <c r="D23" s="147" t="s">
        <v>20</v>
      </c>
      <c r="E23" s="147"/>
      <c r="F23" s="55" t="s">
        <v>129</v>
      </c>
      <c r="J23" s="56" t="s">
        <v>35</v>
      </c>
      <c r="K23" s="76" t="s">
        <v>19</v>
      </c>
      <c r="L23" s="78" t="s">
        <v>78</v>
      </c>
      <c r="M23" s="79" t="s">
        <v>79</v>
      </c>
      <c r="N23" s="83" t="s">
        <v>80</v>
      </c>
      <c r="O23" s="85" t="s">
        <v>81</v>
      </c>
      <c r="P23" s="88" t="s">
        <v>82</v>
      </c>
      <c r="Q23" s="90" t="s">
        <v>85</v>
      </c>
      <c r="R23" s="96" t="s">
        <v>86</v>
      </c>
      <c r="S23" s="96" t="s">
        <v>87</v>
      </c>
      <c r="T23" s="96" t="s">
        <v>89</v>
      </c>
      <c r="U23" s="97" t="s">
        <v>90</v>
      </c>
      <c r="V23" s="97" t="s">
        <v>91</v>
      </c>
      <c r="W23" s="99" t="s">
        <v>92</v>
      </c>
      <c r="X23" s="99" t="s">
        <v>93</v>
      </c>
      <c r="Y23" s="101" t="s">
        <v>94</v>
      </c>
      <c r="Z23" s="101" t="s">
        <v>95</v>
      </c>
      <c r="AA23" s="102" t="s">
        <v>96</v>
      </c>
      <c r="AB23" s="102" t="s">
        <v>97</v>
      </c>
      <c r="AC23" s="104" t="s">
        <v>98</v>
      </c>
      <c r="AD23" s="104" t="s">
        <v>99</v>
      </c>
      <c r="AE23" s="111" t="s">
        <v>100</v>
      </c>
      <c r="AF23" s="111" t="s">
        <v>101</v>
      </c>
      <c r="AG23" s="113" t="s">
        <v>102</v>
      </c>
      <c r="AH23" s="113" t="s">
        <v>103</v>
      </c>
      <c r="AI23" s="114" t="s">
        <v>104</v>
      </c>
      <c r="AJ23" s="114" t="s">
        <v>105</v>
      </c>
      <c r="AK23" s="115" t="s">
        <v>106</v>
      </c>
      <c r="AL23" s="117" t="s">
        <v>107</v>
      </c>
      <c r="AM23" s="119" t="s">
        <v>109</v>
      </c>
      <c r="AN23" s="121" t="s">
        <v>110</v>
      </c>
      <c r="AO23" s="124" t="s">
        <v>111</v>
      </c>
      <c r="AP23" s="126" t="s">
        <v>112</v>
      </c>
      <c r="AQ23" s="128" t="s">
        <v>113</v>
      </c>
      <c r="AR23" s="130" t="s">
        <v>114</v>
      </c>
      <c r="AS23" s="137" t="s">
        <v>115</v>
      </c>
      <c r="AT23" s="138" t="s">
        <v>119</v>
      </c>
      <c r="AU23" s="139" t="s">
        <v>120</v>
      </c>
      <c r="AV23" s="140" t="s">
        <v>121</v>
      </c>
      <c r="AW23" s="141" t="s">
        <v>122</v>
      </c>
      <c r="AX23" s="142" t="s">
        <v>123</v>
      </c>
      <c r="AY23" s="143" t="s">
        <v>124</v>
      </c>
      <c r="AZ23" s="143" t="s">
        <v>125</v>
      </c>
      <c r="BA23" s="144" t="s">
        <v>126</v>
      </c>
      <c r="BB23" s="145" t="s">
        <v>127</v>
      </c>
    </row>
    <row r="24" spans="1:54" x14ac:dyDescent="0.25">
      <c r="A24" s="57" t="s">
        <v>21</v>
      </c>
      <c r="B24" s="57"/>
      <c r="C24" s="57"/>
      <c r="D24" s="57"/>
      <c r="E24" s="57"/>
      <c r="F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</row>
    <row r="25" spans="1:54" x14ac:dyDescent="0.25">
      <c r="A25" s="58" t="s">
        <v>67</v>
      </c>
      <c r="B25" s="59">
        <v>0</v>
      </c>
      <c r="C25" s="59">
        <v>37.867440999999999</v>
      </c>
      <c r="D25" s="86" t="str">
        <f t="shared" ref="D25:D39" si="1">IF(OR(E25="=",E25="≈",E25="—"),"",IF(E25&gt;0,"",IF(E25&lt;0,"","")))</f>
        <v/>
      </c>
      <c r="E25" s="34" t="str">
        <f t="shared" ref="E25:E38" si="2">IFERROR(IF(B25/C25-1=0,"=",IF(B25/C25-1=-1,"—",IF(OR(AND(B25/C25-1&lt;0.005,B25/C25-1&gt;0), AND(B25/C25-1&lt;0,B25/C25-1&gt;-0.005)),"≈",B25/C25-1))),"—")</f>
        <v>—</v>
      </c>
      <c r="F25" s="59">
        <v>80.207844999999992</v>
      </c>
      <c r="H25" s="75"/>
      <c r="J25" s="60">
        <v>26.313594999999999</v>
      </c>
      <c r="K25" s="60">
        <v>26.959914999999999</v>
      </c>
      <c r="L25" s="60">
        <v>27.103119</v>
      </c>
      <c r="M25" s="60">
        <v>24.483134</v>
      </c>
      <c r="N25" s="60">
        <v>27.742388999999999</v>
      </c>
      <c r="O25" s="60">
        <v>26.994222000000001</v>
      </c>
      <c r="P25" s="60">
        <v>28.404098000000001</v>
      </c>
      <c r="Q25" s="60">
        <v>29.149512999999999</v>
      </c>
      <c r="R25" s="60">
        <v>26.254307000000001</v>
      </c>
      <c r="S25" s="59">
        <v>27.235633</v>
      </c>
      <c r="T25" s="59">
        <v>26.611170999999999</v>
      </c>
      <c r="U25" s="60">
        <v>27.067164000000002</v>
      </c>
      <c r="V25" s="59">
        <v>27.145626</v>
      </c>
      <c r="W25" s="60">
        <v>25.623892000000001</v>
      </c>
      <c r="X25" s="59">
        <v>26.136465999999999</v>
      </c>
      <c r="Y25" s="60">
        <v>6.195093</v>
      </c>
      <c r="Z25" s="59">
        <v>25.782896000000001</v>
      </c>
      <c r="AA25" s="60">
        <v>27.101358999999999</v>
      </c>
      <c r="AB25" s="59">
        <v>25.830076000000002</v>
      </c>
      <c r="AC25" s="60">
        <v>26.780673999999998</v>
      </c>
      <c r="AD25" s="59">
        <v>26.23048</v>
      </c>
      <c r="AE25" s="60">
        <v>27.705296999999998</v>
      </c>
      <c r="AF25" s="59">
        <v>22.868362000000001</v>
      </c>
      <c r="AG25" s="60">
        <v>27.399799999999999</v>
      </c>
      <c r="AH25" s="59">
        <v>23.363067999999998</v>
      </c>
      <c r="AI25" s="60">
        <v>24.810245999999999</v>
      </c>
      <c r="AJ25" s="59">
        <v>26.234931</v>
      </c>
      <c r="AK25" s="59">
        <v>26.580484999999999</v>
      </c>
      <c r="AL25" s="59">
        <v>27.083331999999999</v>
      </c>
      <c r="AM25" s="59">
        <v>25.244315</v>
      </c>
      <c r="AN25" s="59">
        <v>26.598398</v>
      </c>
      <c r="AO25" s="59">
        <v>24.562774000000001</v>
      </c>
      <c r="AP25" s="59">
        <v>36.466552</v>
      </c>
      <c r="AQ25" s="59">
        <v>43.160744000000001</v>
      </c>
      <c r="AR25" s="59">
        <v>41.089466999999999</v>
      </c>
      <c r="AS25" s="59">
        <v>40.316790999999995</v>
      </c>
      <c r="AT25" s="59">
        <v>34.128703000000002</v>
      </c>
      <c r="AU25" s="59">
        <v>40.119294000000004</v>
      </c>
      <c r="AV25" s="59">
        <v>36.009817000000005</v>
      </c>
      <c r="AW25" s="59">
        <v>21.805434000000002</v>
      </c>
      <c r="AX25" s="59">
        <v>35.140808</v>
      </c>
      <c r="AY25" s="59">
        <v>39.733593999999997</v>
      </c>
      <c r="AZ25" s="59">
        <v>37.677252000000003</v>
      </c>
      <c r="BA25" s="59">
        <v>42.340403999999999</v>
      </c>
      <c r="BB25" s="59">
        <v>37.867440999999999</v>
      </c>
    </row>
    <row r="26" spans="1:54" x14ac:dyDescent="0.25">
      <c r="A26" s="58" t="s">
        <v>23</v>
      </c>
      <c r="B26" s="59">
        <v>0</v>
      </c>
      <c r="C26" s="59">
        <v>0</v>
      </c>
      <c r="D26" s="86" t="str">
        <f t="shared" si="1"/>
        <v/>
      </c>
      <c r="E26" s="34" t="str">
        <f t="shared" si="2"/>
        <v>—</v>
      </c>
      <c r="F26" s="59">
        <v>0</v>
      </c>
      <c r="H26" s="75"/>
      <c r="J26" s="60">
        <v>9.3188999999999993</v>
      </c>
      <c r="K26" s="60">
        <v>9.2060999999999993</v>
      </c>
      <c r="L26" s="60">
        <v>9.9185999999999996</v>
      </c>
      <c r="M26" s="60">
        <v>8.8527000000000005</v>
      </c>
      <c r="N26" s="60">
        <v>10.2103</v>
      </c>
      <c r="O26" s="60">
        <v>11.446300000000001</v>
      </c>
      <c r="P26" s="60">
        <v>8.4321000000000002</v>
      </c>
      <c r="Q26" s="60">
        <v>11.0784</v>
      </c>
      <c r="R26" s="60">
        <v>10.436200000000001</v>
      </c>
      <c r="S26" s="59">
        <v>11.461</v>
      </c>
      <c r="T26" s="59">
        <v>10.9628</v>
      </c>
      <c r="U26" s="60">
        <v>11.2493</v>
      </c>
      <c r="V26" s="59">
        <v>10.5732</v>
      </c>
      <c r="W26" s="60">
        <v>10.121600000000001</v>
      </c>
      <c r="X26" s="59">
        <v>10.0236</v>
      </c>
      <c r="Y26" s="60">
        <v>3.3778999999999999</v>
      </c>
      <c r="Z26" s="59">
        <v>5.3384999999999998</v>
      </c>
      <c r="AA26" s="60">
        <v>12.898200000000001</v>
      </c>
      <c r="AB26" s="59">
        <v>13.207600000000001</v>
      </c>
      <c r="AC26" s="60">
        <v>13.164399999999999</v>
      </c>
      <c r="AD26" s="59">
        <v>12.2318</v>
      </c>
      <c r="AE26" s="60">
        <v>13.3032</v>
      </c>
      <c r="AF26" s="59">
        <v>12.3325</v>
      </c>
      <c r="AG26" s="60">
        <v>12.6684</v>
      </c>
      <c r="AH26" s="59">
        <v>11.872399999999999</v>
      </c>
      <c r="AI26" s="60">
        <v>6.5733999999999995</v>
      </c>
      <c r="AJ26" s="59">
        <v>10.170999999999999</v>
      </c>
      <c r="AK26" s="59">
        <v>11.2906</v>
      </c>
      <c r="AL26" s="59">
        <v>12.376200000000001</v>
      </c>
      <c r="AM26" s="59">
        <v>12.317600000000001</v>
      </c>
      <c r="AN26" s="59">
        <v>12.925700000000001</v>
      </c>
      <c r="AO26" s="59">
        <v>12.621799999999999</v>
      </c>
      <c r="AP26" s="59">
        <v>11.372999999999999</v>
      </c>
      <c r="AQ26" s="59">
        <v>12.431100000000001</v>
      </c>
      <c r="AR26" s="59">
        <v>12.1023</v>
      </c>
      <c r="AS26" s="59">
        <v>11.165700000000001</v>
      </c>
      <c r="AT26" s="59">
        <v>10.6775</v>
      </c>
      <c r="AU26" s="59">
        <v>11.752000000000001</v>
      </c>
      <c r="AV26" s="59">
        <v>12.239100000000001</v>
      </c>
      <c r="AW26" s="59">
        <v>12.148100000000001</v>
      </c>
      <c r="AX26" s="59"/>
      <c r="AY26" s="59">
        <v>4.3997999999999999</v>
      </c>
      <c r="AZ26" s="59">
        <v>9.6717999999999993</v>
      </c>
      <c r="BA26" s="59">
        <v>0</v>
      </c>
      <c r="BB26" s="59">
        <v>0</v>
      </c>
    </row>
    <row r="27" spans="1:54" x14ac:dyDescent="0.25">
      <c r="A27" s="58" t="s">
        <v>27</v>
      </c>
      <c r="B27" s="59">
        <v>22.341000000000001</v>
      </c>
      <c r="C27" s="59">
        <v>21.474</v>
      </c>
      <c r="D27" s="86" t="str">
        <f t="shared" si="1"/>
        <v></v>
      </c>
      <c r="E27" s="34">
        <f t="shared" si="2"/>
        <v>4.0374406258731454E-2</v>
      </c>
      <c r="F27" s="59">
        <v>66.497500000000002</v>
      </c>
      <c r="H27" s="75"/>
      <c r="J27" s="60">
        <v>28.326000000000001</v>
      </c>
      <c r="K27" s="60">
        <v>24.627880000000001</v>
      </c>
      <c r="L27" s="60">
        <v>20.574919999999999</v>
      </c>
      <c r="M27" s="60">
        <v>15.051</v>
      </c>
      <c r="N27" s="60">
        <v>12.016999999999999</v>
      </c>
      <c r="O27" s="60">
        <v>17.766999999999999</v>
      </c>
      <c r="P27" s="60">
        <v>21.533999999999999</v>
      </c>
      <c r="Q27" s="60">
        <v>18.832730000000002</v>
      </c>
      <c r="R27" s="60">
        <v>23.565000000000001</v>
      </c>
      <c r="S27" s="59">
        <v>22.046990000000001</v>
      </c>
      <c r="T27" s="59">
        <v>18.867180000000001</v>
      </c>
      <c r="U27" s="60">
        <v>17.331480000000003</v>
      </c>
      <c r="V27" s="59">
        <v>20.541450000000012</v>
      </c>
      <c r="W27" s="60">
        <v>22.143000000000001</v>
      </c>
      <c r="X27" s="59">
        <v>19.248999999999999</v>
      </c>
      <c r="Y27" s="60">
        <v>17.715</v>
      </c>
      <c r="Z27" s="59">
        <v>23.802</v>
      </c>
      <c r="AA27" s="60">
        <v>20.954999999999998</v>
      </c>
      <c r="AB27" s="59">
        <v>17.190999999999999</v>
      </c>
      <c r="AC27" s="60">
        <v>16.419</v>
      </c>
      <c r="AD27" s="59">
        <v>13.528</v>
      </c>
      <c r="AE27" s="60">
        <v>10.414999999999999</v>
      </c>
      <c r="AF27" s="59">
        <v>10.209</v>
      </c>
      <c r="AG27" s="60">
        <v>15.342019999999994</v>
      </c>
      <c r="AH27" s="59">
        <v>17.199000000000002</v>
      </c>
      <c r="AI27" s="60">
        <v>16.332999999999998</v>
      </c>
      <c r="AJ27" s="59">
        <v>18.827999999999999</v>
      </c>
      <c r="AK27" s="59">
        <v>16.701000000000001</v>
      </c>
      <c r="AL27" s="59">
        <v>12.055999999999999</v>
      </c>
      <c r="AM27" s="59">
        <v>14.146000000000001</v>
      </c>
      <c r="AN27" s="59">
        <v>20.920999999999999</v>
      </c>
      <c r="AO27" s="59">
        <v>15.836</v>
      </c>
      <c r="AP27" s="59">
        <v>19.561</v>
      </c>
      <c r="AQ27" s="59">
        <v>19.338000000000001</v>
      </c>
      <c r="AR27" s="59">
        <v>22.852720000000001</v>
      </c>
      <c r="AS27" s="59">
        <v>16.98</v>
      </c>
      <c r="AT27" s="59">
        <v>22.132000000000001</v>
      </c>
      <c r="AU27" s="59">
        <v>22.17</v>
      </c>
      <c r="AV27" s="59">
        <v>23.327999999999999</v>
      </c>
      <c r="AW27" s="59">
        <v>18.713999999999999</v>
      </c>
      <c r="AX27" s="59">
        <v>25.84666</v>
      </c>
      <c r="AY27" s="59">
        <v>18.422000000000001</v>
      </c>
      <c r="AZ27" s="59">
        <v>19.489000000000001</v>
      </c>
      <c r="BA27" s="59">
        <v>22.682500000000001</v>
      </c>
      <c r="BB27" s="59">
        <v>21.474</v>
      </c>
    </row>
    <row r="28" spans="1:54" x14ac:dyDescent="0.25">
      <c r="A28" s="58" t="s">
        <v>71</v>
      </c>
      <c r="B28" s="59">
        <v>15.954103</v>
      </c>
      <c r="C28" s="59">
        <v>14.331932</v>
      </c>
      <c r="D28" s="86" t="str">
        <f t="shared" si="1"/>
        <v></v>
      </c>
      <c r="E28" s="34">
        <f t="shared" si="2"/>
        <v>0.11318578681506453</v>
      </c>
      <c r="F28" s="59">
        <v>46.499289000000005</v>
      </c>
      <c r="H28" s="75"/>
      <c r="J28" s="61">
        <v>13.246483</v>
      </c>
      <c r="K28" s="61">
        <v>14.395346999999999</v>
      </c>
      <c r="L28" s="60">
        <v>13.712026</v>
      </c>
      <c r="M28" s="60">
        <v>3.2805049999999998</v>
      </c>
      <c r="N28" s="60">
        <v>7.5115489999999996</v>
      </c>
      <c r="O28" s="60">
        <v>13.952271</v>
      </c>
      <c r="P28" s="60">
        <v>10.561046000000001</v>
      </c>
      <c r="Q28" s="60">
        <v>12.079673000000001</v>
      </c>
      <c r="R28" s="60">
        <v>12.054930000000001</v>
      </c>
      <c r="S28" s="59">
        <v>13.98399</v>
      </c>
      <c r="T28" s="59">
        <v>13.806671</v>
      </c>
      <c r="U28" s="60">
        <v>15.539451</v>
      </c>
      <c r="V28" s="59">
        <v>14.842732</v>
      </c>
      <c r="W28" s="60">
        <v>15.650636</v>
      </c>
      <c r="X28" s="59">
        <v>15.442515</v>
      </c>
      <c r="Y28" s="60">
        <v>10.990233</v>
      </c>
      <c r="Z28" s="59">
        <v>17.745940999999998</v>
      </c>
      <c r="AA28" s="60">
        <v>15.892001</v>
      </c>
      <c r="AB28" s="59">
        <v>14.850864</v>
      </c>
      <c r="AC28" s="60">
        <v>16.730541000000002</v>
      </c>
      <c r="AD28" s="59">
        <v>13.280507999999999</v>
      </c>
      <c r="AE28" s="60">
        <v>13.656692</v>
      </c>
      <c r="AF28" s="59">
        <v>7.4400739999999992</v>
      </c>
      <c r="AG28" s="60">
        <v>4.3268610000000001</v>
      </c>
      <c r="AH28" s="59">
        <v>13.920262000000001</v>
      </c>
      <c r="AI28" s="60">
        <v>15.299046000000001</v>
      </c>
      <c r="AJ28" s="59">
        <v>13.871274</v>
      </c>
      <c r="AK28" s="59">
        <v>13.742115999999999</v>
      </c>
      <c r="AL28" s="59">
        <v>14.212495000000001</v>
      </c>
      <c r="AM28" s="59">
        <v>13.724737999999999</v>
      </c>
      <c r="AN28" s="59">
        <v>13.896559</v>
      </c>
      <c r="AO28" s="59">
        <v>15.268651</v>
      </c>
      <c r="AP28" s="59">
        <v>13.836169</v>
      </c>
      <c r="AQ28" s="59">
        <v>15.282874</v>
      </c>
      <c r="AR28" s="59">
        <v>15.605482</v>
      </c>
      <c r="AS28" s="59">
        <v>11.680334999999999</v>
      </c>
      <c r="AT28" s="59">
        <v>14.632194</v>
      </c>
      <c r="AU28" s="59">
        <v>15.667024999999999</v>
      </c>
      <c r="AV28" s="59">
        <v>16.113896</v>
      </c>
      <c r="AW28" s="59">
        <v>15.818747999999999</v>
      </c>
      <c r="AX28" s="59">
        <v>14.739439000000001</v>
      </c>
      <c r="AY28" s="59">
        <v>14.723671</v>
      </c>
      <c r="AZ28" s="59">
        <v>14.713569</v>
      </c>
      <c r="BA28" s="59">
        <v>16.213253999999999</v>
      </c>
      <c r="BB28" s="59">
        <v>14.331932</v>
      </c>
    </row>
    <row r="29" spans="1:54" x14ac:dyDescent="0.25">
      <c r="A29" s="58" t="s">
        <v>33</v>
      </c>
      <c r="B29" s="59">
        <v>15.906075999999999</v>
      </c>
      <c r="C29" s="59">
        <v>13.493109</v>
      </c>
      <c r="D29" s="86" t="str">
        <f t="shared" si="1"/>
        <v></v>
      </c>
      <c r="E29" s="34">
        <f t="shared" si="2"/>
        <v>0.17882957886132833</v>
      </c>
      <c r="F29" s="59">
        <v>44.546433999999998</v>
      </c>
      <c r="H29" s="75"/>
      <c r="J29" s="60">
        <v>13.8292</v>
      </c>
      <c r="K29" s="60">
        <v>13.061500000000001</v>
      </c>
      <c r="L29" s="60">
        <v>11.8599</v>
      </c>
      <c r="M29" s="60">
        <v>13.5793</v>
      </c>
      <c r="N29" s="60">
        <v>0.80589999999999995</v>
      </c>
      <c r="O29" s="60">
        <v>8.2217000000000002</v>
      </c>
      <c r="P29" s="60">
        <v>15.258599999999999</v>
      </c>
      <c r="Q29" s="60">
        <v>14.788600000000001</v>
      </c>
      <c r="R29" s="60">
        <v>14.391188</v>
      </c>
      <c r="S29" s="59">
        <v>8.6617569999999997</v>
      </c>
      <c r="T29" s="59">
        <v>15.615257999999999</v>
      </c>
      <c r="U29" s="60">
        <v>16.163164999999999</v>
      </c>
      <c r="V29" s="59">
        <v>15.664422</v>
      </c>
      <c r="W29" s="60">
        <v>14.649880999999999</v>
      </c>
      <c r="X29" s="59">
        <v>14.804847000000001</v>
      </c>
      <c r="Y29" s="60">
        <v>13.227083</v>
      </c>
      <c r="Z29" s="59">
        <v>8.385885</v>
      </c>
      <c r="AA29" s="60">
        <v>15.300549999999999</v>
      </c>
      <c r="AB29" s="59">
        <v>15.399029000000001</v>
      </c>
      <c r="AC29" s="60">
        <v>15.627395</v>
      </c>
      <c r="AD29" s="59">
        <v>13.906711</v>
      </c>
      <c r="AE29" s="60">
        <v>14.728931000000001</v>
      </c>
      <c r="AF29" s="59">
        <v>13.932086999999999</v>
      </c>
      <c r="AG29" s="60">
        <v>14.411318999999999</v>
      </c>
      <c r="AH29" s="59">
        <v>14.059434999999999</v>
      </c>
      <c r="AI29" s="60">
        <v>14.846131999999999</v>
      </c>
      <c r="AJ29" s="59">
        <v>13.382520000000001</v>
      </c>
      <c r="AK29" s="59">
        <v>11.028881999999999</v>
      </c>
      <c r="AL29" s="59">
        <v>14.575618</v>
      </c>
      <c r="AM29" s="59">
        <v>13.767377</v>
      </c>
      <c r="AN29" s="59">
        <v>14.816870000000002</v>
      </c>
      <c r="AO29" s="59">
        <v>12.581061999999999</v>
      </c>
      <c r="AP29" s="59">
        <v>0</v>
      </c>
      <c r="AQ29" s="59">
        <v>0</v>
      </c>
      <c r="AR29" s="59">
        <v>0</v>
      </c>
      <c r="AS29" s="59">
        <v>0</v>
      </c>
      <c r="AT29" s="59">
        <v>5.1564489999999994</v>
      </c>
      <c r="AU29" s="59">
        <v>13.080819999999999</v>
      </c>
      <c r="AV29" s="59">
        <v>14.916594999999999</v>
      </c>
      <c r="AW29" s="59">
        <v>14.568468999999999</v>
      </c>
      <c r="AX29" s="59">
        <v>12.729261000000001</v>
      </c>
      <c r="AY29" s="59">
        <v>13.530946</v>
      </c>
      <c r="AZ29" s="59">
        <v>14.791041</v>
      </c>
      <c r="BA29" s="59">
        <v>15.147249</v>
      </c>
      <c r="BB29" s="59">
        <v>13.493109</v>
      </c>
    </row>
    <row r="30" spans="1:54" x14ac:dyDescent="0.25">
      <c r="A30" s="58" t="s">
        <v>72</v>
      </c>
      <c r="B30" s="59">
        <v>93.161810000000003</v>
      </c>
      <c r="C30" s="59">
        <v>88.972279999999998</v>
      </c>
      <c r="D30" s="86" t="str">
        <f t="shared" si="1"/>
        <v></v>
      </c>
      <c r="E30" s="34">
        <f t="shared" si="2"/>
        <v>4.7088036858221605E-2</v>
      </c>
      <c r="F30" s="59">
        <v>280.83303000000001</v>
      </c>
      <c r="H30" s="75"/>
      <c r="J30" s="60">
        <v>50.931800000000003</v>
      </c>
      <c r="K30" s="60">
        <v>67.945899999999995</v>
      </c>
      <c r="L30" s="60">
        <v>80.6858</v>
      </c>
      <c r="M30" s="60">
        <v>69.329599999999999</v>
      </c>
      <c r="N30" s="60">
        <v>66.739900000000006</v>
      </c>
      <c r="O30" s="60">
        <v>93.545100000000005</v>
      </c>
      <c r="P30" s="60">
        <v>90.526699999999991</v>
      </c>
      <c r="Q30" s="60">
        <v>95.4268</v>
      </c>
      <c r="R30" s="60">
        <v>86.6126</v>
      </c>
      <c r="S30" s="59">
        <v>95.846500000000006</v>
      </c>
      <c r="T30" s="59">
        <v>89.5</v>
      </c>
      <c r="U30" s="60">
        <v>72.258399999999995</v>
      </c>
      <c r="V30" s="59">
        <v>84.614699999999999</v>
      </c>
      <c r="W30" s="60">
        <v>75.212100000000007</v>
      </c>
      <c r="X30" s="59">
        <v>93.974399999999989</v>
      </c>
      <c r="Y30" s="60">
        <v>93.4084</v>
      </c>
      <c r="Z30" s="59">
        <v>97.640899999999988</v>
      </c>
      <c r="AA30" s="60">
        <v>94.294300000000007</v>
      </c>
      <c r="AB30" s="59">
        <v>93.832700000000003</v>
      </c>
      <c r="AC30" s="60">
        <v>94.633200000000002</v>
      </c>
      <c r="AD30" s="59">
        <v>86.794600000000003</v>
      </c>
      <c r="AE30" s="60">
        <v>95.169300000000007</v>
      </c>
      <c r="AF30" s="59">
        <v>92.483699999999999</v>
      </c>
      <c r="AG30" s="60">
        <v>88.943799999999996</v>
      </c>
      <c r="AH30" s="59">
        <v>58.305900000000001</v>
      </c>
      <c r="AI30" s="60">
        <v>58.305900000000001</v>
      </c>
      <c r="AJ30" s="59">
        <v>90.594800000000006</v>
      </c>
      <c r="AK30" s="59">
        <v>82.9178</v>
      </c>
      <c r="AL30" s="59">
        <v>57.202100000000002</v>
      </c>
      <c r="AM30" s="59">
        <v>42.828000000000003</v>
      </c>
      <c r="AN30" s="59">
        <v>70.640299999999996</v>
      </c>
      <c r="AO30" s="59">
        <v>0</v>
      </c>
      <c r="AP30" s="59">
        <v>75.807500000000005</v>
      </c>
      <c r="AQ30" s="59">
        <v>88.664726000000002</v>
      </c>
      <c r="AR30" s="59">
        <v>81.250005000000002</v>
      </c>
      <c r="AS30" s="59">
        <v>48.546571999999998</v>
      </c>
      <c r="AT30" s="59">
        <v>53.636826999999997</v>
      </c>
      <c r="AU30" s="59">
        <v>90.135047</v>
      </c>
      <c r="AV30" s="59">
        <v>94.335481999999999</v>
      </c>
      <c r="AW30" s="59">
        <v>91.791899999999998</v>
      </c>
      <c r="AX30" s="59">
        <v>96.323054999999997</v>
      </c>
      <c r="AY30" s="59">
        <v>95.07888899999999</v>
      </c>
      <c r="AZ30" s="59">
        <v>96.323054999999997</v>
      </c>
      <c r="BA30" s="59">
        <v>98.698940000000007</v>
      </c>
      <c r="BB30" s="59">
        <v>88.972279999999998</v>
      </c>
    </row>
    <row r="31" spans="1:54" x14ac:dyDescent="0.25">
      <c r="A31" s="58" t="s">
        <v>30</v>
      </c>
      <c r="B31" s="59">
        <v>10.302</v>
      </c>
      <c r="C31" s="59">
        <v>10.207000000000001</v>
      </c>
      <c r="D31" s="86" t="str">
        <f t="shared" si="1"/>
        <v></v>
      </c>
      <c r="E31" s="34">
        <f t="shared" si="2"/>
        <v>9.3073381013029088E-3</v>
      </c>
      <c r="F31" s="59">
        <v>30.186</v>
      </c>
      <c r="H31" s="75"/>
      <c r="J31" s="60">
        <v>7.6420000000000003</v>
      </c>
      <c r="K31" s="60"/>
      <c r="L31" s="60">
        <v>9.9990000000000006</v>
      </c>
      <c r="M31" s="60">
        <v>10.933</v>
      </c>
      <c r="N31" s="60">
        <v>11.16</v>
      </c>
      <c r="O31" s="60">
        <v>9.2620000000000005</v>
      </c>
      <c r="P31" s="60">
        <v>10.153</v>
      </c>
      <c r="Q31" s="60">
        <v>9.0890000000000004</v>
      </c>
      <c r="R31" s="60">
        <v>8.6020000000000003</v>
      </c>
      <c r="S31" s="59">
        <v>9.1720000000000006</v>
      </c>
      <c r="T31" s="59">
        <v>9.7309999999999999</v>
      </c>
      <c r="U31" s="60">
        <v>9.2859999999999996</v>
      </c>
      <c r="V31" s="59">
        <v>5.0599999999999996</v>
      </c>
      <c r="W31" s="60">
        <v>0.56899999999999995</v>
      </c>
      <c r="X31" s="59">
        <v>0.69899999999999995</v>
      </c>
      <c r="Y31" s="60">
        <v>8.4480000000000004</v>
      </c>
      <c r="Z31" s="59">
        <v>11.326000000000001</v>
      </c>
      <c r="AA31" s="60">
        <v>11.205</v>
      </c>
      <c r="AB31" s="59">
        <v>10.725</v>
      </c>
      <c r="AC31" s="60">
        <v>10.217000000000001</v>
      </c>
      <c r="AD31" s="59">
        <v>9.8339999999999996</v>
      </c>
      <c r="AE31" s="60">
        <v>9.9909999999999997</v>
      </c>
      <c r="AF31" s="59">
        <v>9.9830000000000005</v>
      </c>
      <c r="AG31" s="60">
        <v>9.3339999999999996</v>
      </c>
      <c r="AH31" s="59">
        <v>8.9469999999999992</v>
      </c>
      <c r="AI31" s="60">
        <v>0.54900000000000004</v>
      </c>
      <c r="AJ31" s="59">
        <v>7.4089999999999998</v>
      </c>
      <c r="AK31" s="59">
        <v>9.6199999999999992</v>
      </c>
      <c r="AL31" s="59">
        <v>9.0719999999999992</v>
      </c>
      <c r="AM31" s="59">
        <v>8.1329999999999991</v>
      </c>
      <c r="AN31" s="59">
        <v>9.0329999999999995</v>
      </c>
      <c r="AO31" s="59">
        <v>8.5660000000000007</v>
      </c>
      <c r="AP31" s="59">
        <v>7.9160000000000004</v>
      </c>
      <c r="AQ31" s="59">
        <v>9.6199999999999992</v>
      </c>
      <c r="AR31" s="59">
        <v>9.9960000000000004</v>
      </c>
      <c r="AS31" s="59">
        <v>10.093</v>
      </c>
      <c r="AT31" s="59">
        <v>8.2430000000000003</v>
      </c>
      <c r="AU31" s="59">
        <v>0</v>
      </c>
      <c r="AV31" s="59">
        <v>3.9129999999999998</v>
      </c>
      <c r="AW31" s="59">
        <v>10.224</v>
      </c>
      <c r="AX31" s="59">
        <v>9.2370000000000001</v>
      </c>
      <c r="AY31" s="59">
        <v>9.4359999999999999</v>
      </c>
      <c r="AZ31" s="59">
        <v>9.3810000000000002</v>
      </c>
      <c r="BA31" s="59">
        <v>9.6769999999999996</v>
      </c>
      <c r="BB31" s="59">
        <v>10.207000000000001</v>
      </c>
    </row>
    <row r="32" spans="1:54" x14ac:dyDescent="0.25">
      <c r="A32" s="58" t="s">
        <v>73</v>
      </c>
      <c r="B32" s="59">
        <v>6.2330999999999985</v>
      </c>
      <c r="C32" s="59">
        <v>5.4526999999999965</v>
      </c>
      <c r="D32" s="86" t="str">
        <f t="shared" si="1"/>
        <v></v>
      </c>
      <c r="E32" s="34">
        <f t="shared" si="2"/>
        <v>0.14312175619417955</v>
      </c>
      <c r="F32" s="59">
        <v>17.931899999999999</v>
      </c>
      <c r="H32" s="75"/>
      <c r="J32" s="60">
        <v>4.469599999999998</v>
      </c>
      <c r="K32" s="60">
        <v>4.6806000000000001</v>
      </c>
      <c r="L32" s="60">
        <v>5.1260000000000012</v>
      </c>
      <c r="M32" s="60">
        <v>3.4194999999999993</v>
      </c>
      <c r="N32" s="60">
        <v>2.8879000000000001</v>
      </c>
      <c r="O32" s="60">
        <v>4.8840000000000003</v>
      </c>
      <c r="P32" s="60">
        <v>5.3832000000000004</v>
      </c>
      <c r="Q32" s="60">
        <v>5.6952000000000007</v>
      </c>
      <c r="R32" s="60">
        <v>5.289200000000001</v>
      </c>
      <c r="S32" s="59">
        <v>4.7204000000000015</v>
      </c>
      <c r="T32" s="59">
        <v>4.4970999999999988</v>
      </c>
      <c r="U32" s="60">
        <v>5.4105999999999987</v>
      </c>
      <c r="V32" s="59">
        <v>4.8157999999999994</v>
      </c>
      <c r="W32" s="60">
        <v>5.9177999999999988</v>
      </c>
      <c r="X32" s="59">
        <v>5.9399000000000015</v>
      </c>
      <c r="Y32" s="60">
        <v>4.0193999999999992</v>
      </c>
      <c r="Z32" s="59">
        <v>5.3393999999999995</v>
      </c>
      <c r="AA32" s="60">
        <v>5.9797000000000011</v>
      </c>
      <c r="AB32" s="59">
        <v>5.5402999999999993</v>
      </c>
      <c r="AC32" s="60">
        <v>6.1025999999999989</v>
      </c>
      <c r="AD32" s="59">
        <v>5.4485000000000001</v>
      </c>
      <c r="AE32" s="60">
        <v>5.2904000000000018</v>
      </c>
      <c r="AF32" s="59">
        <v>4.1497000000000011</v>
      </c>
      <c r="AG32" s="60">
        <v>5.7472999999999992</v>
      </c>
      <c r="AH32" s="59">
        <v>4.2047000000000008</v>
      </c>
      <c r="AI32" s="60">
        <v>4.8340999999999985</v>
      </c>
      <c r="AJ32" s="59">
        <v>4.9187000000000003</v>
      </c>
      <c r="AK32" s="59">
        <v>6.0267000000000008</v>
      </c>
      <c r="AL32" s="59">
        <v>6.0817000000000005</v>
      </c>
      <c r="AM32" s="59">
        <v>3.3937000000000008</v>
      </c>
      <c r="AN32" s="59">
        <v>5.3832000000000004</v>
      </c>
      <c r="AO32" s="59">
        <v>5.4619999999999997</v>
      </c>
      <c r="AP32" s="59">
        <v>3.5302000000000007</v>
      </c>
      <c r="AQ32" s="59">
        <v>4.3439000000000014</v>
      </c>
      <c r="AR32" s="59">
        <v>4.5534000000000017</v>
      </c>
      <c r="AS32" s="59">
        <v>4.745000000000001</v>
      </c>
      <c r="AT32" s="59">
        <v>4.1710999999999974</v>
      </c>
      <c r="AU32" s="59">
        <v>4.6234999999999999</v>
      </c>
      <c r="AV32" s="59">
        <v>5.6080999999999968</v>
      </c>
      <c r="AW32" s="59">
        <v>5.0271999999999988</v>
      </c>
      <c r="AX32" s="59">
        <v>12.56798</v>
      </c>
      <c r="AY32" s="59">
        <v>5.8774000000000015</v>
      </c>
      <c r="AZ32" s="59">
        <v>5.9234000000000009</v>
      </c>
      <c r="BA32" s="59">
        <v>6.246100000000002</v>
      </c>
      <c r="BB32" s="59">
        <v>5.4526999999999965</v>
      </c>
    </row>
    <row r="33" spans="1:54" x14ac:dyDescent="0.25">
      <c r="A33" s="58" t="s">
        <v>74</v>
      </c>
      <c r="B33" s="59">
        <v>15.147988</v>
      </c>
      <c r="C33" s="59">
        <v>15.018238</v>
      </c>
      <c r="D33" s="86" t="str">
        <f t="shared" si="1"/>
        <v></v>
      </c>
      <c r="E33" s="34">
        <f t="shared" si="2"/>
        <v>8.6394955253739081E-3</v>
      </c>
      <c r="F33" s="59">
        <v>46.561453</v>
      </c>
      <c r="H33" s="75"/>
      <c r="J33" s="61">
        <v>15.464</v>
      </c>
      <c r="K33" s="61">
        <v>14.308999999999999</v>
      </c>
      <c r="L33" s="60">
        <v>14.548999999999999</v>
      </c>
      <c r="M33" s="60">
        <v>13.968</v>
      </c>
      <c r="N33" s="60">
        <v>10.189</v>
      </c>
      <c r="O33" s="60">
        <v>16.213000000000001</v>
      </c>
      <c r="P33" s="60">
        <v>12.585000000000001</v>
      </c>
      <c r="Q33" s="60">
        <v>13.294</v>
      </c>
      <c r="R33" s="60">
        <v>12.754</v>
      </c>
      <c r="S33" s="59">
        <v>13.007</v>
      </c>
      <c r="T33" s="59">
        <v>12.738</v>
      </c>
      <c r="U33" s="60">
        <v>14.722</v>
      </c>
      <c r="V33" s="59">
        <v>13.776</v>
      </c>
      <c r="W33" s="60">
        <v>14.676</v>
      </c>
      <c r="X33" s="59">
        <v>14.182</v>
      </c>
      <c r="Y33" s="60">
        <v>6.891</v>
      </c>
      <c r="Z33" s="59">
        <v>9.8680000000000003</v>
      </c>
      <c r="AA33" s="60">
        <v>16.065000000000001</v>
      </c>
      <c r="AB33" s="59">
        <v>16.547000000000001</v>
      </c>
      <c r="AC33" s="60">
        <v>15.726000000000001</v>
      </c>
      <c r="AD33" s="59">
        <v>14.167999999999999</v>
      </c>
      <c r="AE33" s="60">
        <v>16.073</v>
      </c>
      <c r="AF33" s="59">
        <v>13.728999999999999</v>
      </c>
      <c r="AG33" s="60">
        <v>15.523999999999999</v>
      </c>
      <c r="AH33" s="59">
        <v>13.135999999999999</v>
      </c>
      <c r="AI33" s="60">
        <v>14.914999999999999</v>
      </c>
      <c r="AJ33" s="59">
        <v>15.88</v>
      </c>
      <c r="AK33" s="59">
        <v>10.669</v>
      </c>
      <c r="AL33" s="59">
        <v>16.390999999999998</v>
      </c>
      <c r="AM33" s="59">
        <v>15.754</v>
      </c>
      <c r="AN33" s="59">
        <v>16.263000000000002</v>
      </c>
      <c r="AO33" s="59">
        <v>15.506</v>
      </c>
      <c r="AP33" s="59">
        <v>14.423999999999999</v>
      </c>
      <c r="AQ33" s="59">
        <v>16.446000000000002</v>
      </c>
      <c r="AR33" s="59">
        <v>15.188000000000001</v>
      </c>
      <c r="AS33" s="59">
        <v>14.628</v>
      </c>
      <c r="AT33" s="59">
        <v>13.159000000000001</v>
      </c>
      <c r="AU33" s="59">
        <v>14.837</v>
      </c>
      <c r="AV33" s="59">
        <v>13.91</v>
      </c>
      <c r="AW33" s="59">
        <v>13.527671</v>
      </c>
      <c r="AX33" s="59">
        <v>10.77768</v>
      </c>
      <c r="AY33" s="59">
        <v>15.913354999999999</v>
      </c>
      <c r="AZ33" s="59">
        <v>16.620141</v>
      </c>
      <c r="BA33" s="59">
        <v>16.395226999999998</v>
      </c>
      <c r="BB33" s="59">
        <v>15.018238</v>
      </c>
    </row>
    <row r="34" spans="1:54" x14ac:dyDescent="0.25">
      <c r="A34" s="58" t="s">
        <v>75</v>
      </c>
      <c r="B34" s="59">
        <v>13.486600000000001</v>
      </c>
      <c r="C34" s="59">
        <v>12.432829999999999</v>
      </c>
      <c r="D34" s="86" t="str">
        <f t="shared" si="1"/>
        <v></v>
      </c>
      <c r="E34" s="34">
        <f t="shared" si="2"/>
        <v>8.475705048649429E-2</v>
      </c>
      <c r="F34" s="59">
        <v>39.181319999999999</v>
      </c>
      <c r="H34" s="75"/>
      <c r="I34" s="58"/>
      <c r="J34" s="60">
        <v>12.770519999999999</v>
      </c>
      <c r="K34" s="60">
        <v>13.41006</v>
      </c>
      <c r="L34" s="60">
        <v>0.25736999999999999</v>
      </c>
      <c r="M34" s="60">
        <v>6.7005800000000004</v>
      </c>
      <c r="N34" s="60">
        <v>14.123950000000001</v>
      </c>
      <c r="O34" s="60">
        <v>13.576879999999999</v>
      </c>
      <c r="P34" s="60">
        <v>14.035129999999999</v>
      </c>
      <c r="Q34" s="60">
        <v>13.929040000000001</v>
      </c>
      <c r="R34" s="60">
        <v>12.791919999999999</v>
      </c>
      <c r="S34" s="59">
        <v>14.007389999999999</v>
      </c>
      <c r="T34" s="59">
        <v>13.467639999999999</v>
      </c>
      <c r="U34" s="60">
        <v>13.85369</v>
      </c>
      <c r="V34" s="59">
        <v>10.01186</v>
      </c>
      <c r="W34" s="60">
        <v>13.196120000000001</v>
      </c>
      <c r="X34" s="59">
        <v>12.90921</v>
      </c>
      <c r="Y34" s="60">
        <v>13.41877</v>
      </c>
      <c r="Z34" s="59">
        <v>14.63805</v>
      </c>
      <c r="AA34" s="60">
        <v>13.762409999999999</v>
      </c>
      <c r="AB34" s="59">
        <v>12.445129999999999</v>
      </c>
      <c r="AC34" s="60">
        <v>13.948600000000001</v>
      </c>
      <c r="AD34" s="59">
        <v>12.67742</v>
      </c>
      <c r="AE34" s="60">
        <v>14.299940000000001</v>
      </c>
      <c r="AF34" s="59">
        <v>13.40137</v>
      </c>
      <c r="AG34" s="60">
        <v>14.008719999999999</v>
      </c>
      <c r="AH34" s="59">
        <v>8.9121299999999994</v>
      </c>
      <c r="AI34" s="60">
        <v>13.656139999999999</v>
      </c>
      <c r="AJ34" s="59">
        <v>14.134510000000001</v>
      </c>
      <c r="AK34" s="59">
        <v>13.556700000000001</v>
      </c>
      <c r="AL34" s="59">
        <v>14.491760000000001</v>
      </c>
      <c r="AM34" s="59">
        <v>13.502469999999999</v>
      </c>
      <c r="AN34" s="59">
        <v>13.953790000000001</v>
      </c>
      <c r="AO34" s="59">
        <v>14.58065</v>
      </c>
      <c r="AP34" s="59">
        <v>11.71068</v>
      </c>
      <c r="AQ34" s="59">
        <v>13.330350000000001</v>
      </c>
      <c r="AR34" s="59">
        <v>13.439540000000001</v>
      </c>
      <c r="AS34" s="59">
        <v>13.536010000000001</v>
      </c>
      <c r="AT34" s="59">
        <v>12.79993</v>
      </c>
      <c r="AU34" s="59">
        <v>10.137180000000001</v>
      </c>
      <c r="AV34" s="59">
        <v>13.920249999999999</v>
      </c>
      <c r="AW34" s="59">
        <v>12.98573</v>
      </c>
      <c r="AX34" s="59">
        <v>13.35896</v>
      </c>
      <c r="AY34" s="59">
        <v>12.85722</v>
      </c>
      <c r="AZ34" s="59">
        <v>12.638770000000001</v>
      </c>
      <c r="BA34" s="59">
        <v>13.261889999999999</v>
      </c>
      <c r="BB34" s="59">
        <v>12.432829999999999</v>
      </c>
    </row>
    <row r="35" spans="1:54" x14ac:dyDescent="0.25">
      <c r="A35" s="58" t="s">
        <v>24</v>
      </c>
      <c r="B35" s="59">
        <v>13.225805999999999</v>
      </c>
      <c r="C35" s="59">
        <v>11.981544999999999</v>
      </c>
      <c r="D35" s="86" t="str">
        <f t="shared" si="1"/>
        <v></v>
      </c>
      <c r="E35" s="34">
        <f t="shared" si="2"/>
        <v>0.10384812643110708</v>
      </c>
      <c r="F35" s="59">
        <v>38.260734999999997</v>
      </c>
      <c r="H35" s="75"/>
      <c r="J35" s="60">
        <v>11.962999999999999</v>
      </c>
      <c r="K35" s="60">
        <v>11.788000000000002</v>
      </c>
      <c r="L35" s="60">
        <v>10.804</v>
      </c>
      <c r="M35" s="60">
        <v>12.331</v>
      </c>
      <c r="N35" s="60">
        <v>10.96</v>
      </c>
      <c r="O35" s="60">
        <v>13.136728999999999</v>
      </c>
      <c r="P35" s="60">
        <v>10.841999999999999</v>
      </c>
      <c r="Q35" s="60">
        <v>11.036999999999999</v>
      </c>
      <c r="R35" s="60">
        <v>11.09</v>
      </c>
      <c r="S35" s="59">
        <v>14.051000000000002</v>
      </c>
      <c r="T35" s="59">
        <v>13.037999999999998</v>
      </c>
      <c r="U35" s="60">
        <v>13.731000000000002</v>
      </c>
      <c r="V35" s="59">
        <v>11.19</v>
      </c>
      <c r="W35" s="60">
        <v>9.3399999999999981</v>
      </c>
      <c r="X35" s="59">
        <v>0</v>
      </c>
      <c r="Y35" s="60">
        <v>3.8340000000000001</v>
      </c>
      <c r="Z35" s="59">
        <v>11.523999999999999</v>
      </c>
      <c r="AA35" s="60">
        <v>12.565</v>
      </c>
      <c r="AB35" s="59">
        <v>11.039000000000001</v>
      </c>
      <c r="AC35" s="60">
        <v>12.865</v>
      </c>
      <c r="AD35" s="59">
        <v>12.526000000000002</v>
      </c>
      <c r="AE35" s="60">
        <v>13.565</v>
      </c>
      <c r="AF35" s="59">
        <v>12.077999999999999</v>
      </c>
      <c r="AG35" s="60">
        <v>12.77</v>
      </c>
      <c r="AH35" s="59">
        <v>10.953999999999999</v>
      </c>
      <c r="AI35" s="60">
        <v>12.693999999999999</v>
      </c>
      <c r="AJ35" s="59">
        <v>14.061057999999999</v>
      </c>
      <c r="AK35" s="59">
        <v>13.780144999999999</v>
      </c>
      <c r="AL35" s="59">
        <v>14.283425999999997</v>
      </c>
      <c r="AM35" s="59">
        <v>14.006747000000001</v>
      </c>
      <c r="AN35" s="59">
        <v>13.938375000000002</v>
      </c>
      <c r="AO35" s="59">
        <v>13.579643000000003</v>
      </c>
      <c r="AP35" s="59">
        <v>12.624967</v>
      </c>
      <c r="AQ35" s="59">
        <v>11.964701000000002</v>
      </c>
      <c r="AR35" s="59">
        <v>12.506680000000001</v>
      </c>
      <c r="AS35" s="59">
        <v>12.764167</v>
      </c>
      <c r="AT35" s="59">
        <v>11.602924999999997</v>
      </c>
      <c r="AU35" s="59">
        <v>13.121659000000001</v>
      </c>
      <c r="AV35" s="59">
        <v>1.2358099999999972</v>
      </c>
      <c r="AW35" s="59">
        <v>4.9887259999999998</v>
      </c>
      <c r="AX35" s="59">
        <v>11.981427</v>
      </c>
      <c r="AY35" s="59">
        <v>10.329709000000001</v>
      </c>
      <c r="AZ35" s="59">
        <v>13.388625999999999</v>
      </c>
      <c r="BA35" s="59">
        <v>13.053384000000001</v>
      </c>
      <c r="BB35" s="59">
        <v>11.981544999999999</v>
      </c>
    </row>
    <row r="36" spans="1:54" x14ac:dyDescent="0.25">
      <c r="A36" s="58" t="s">
        <v>76</v>
      </c>
      <c r="B36" s="59">
        <v>5.3470000000000004</v>
      </c>
      <c r="C36" s="59">
        <v>5.0895000000000001</v>
      </c>
      <c r="D36" s="86" t="str">
        <f t="shared" si="1"/>
        <v></v>
      </c>
      <c r="E36" s="34">
        <f t="shared" si="2"/>
        <v>5.0594360939188565E-2</v>
      </c>
      <c r="F36" s="59">
        <v>15.502600000000001</v>
      </c>
      <c r="H36" s="75"/>
      <c r="J36" s="60">
        <v>5.1759000000000004</v>
      </c>
      <c r="K36" s="60">
        <v>4.4198000000000004</v>
      </c>
      <c r="L36" s="60">
        <v>8.3841699999999992</v>
      </c>
      <c r="M36" s="60">
        <v>5.8428000000000004</v>
      </c>
      <c r="N36" s="60">
        <v>7.7939999999999996</v>
      </c>
      <c r="O36" s="60">
        <v>6.0768000000000004</v>
      </c>
      <c r="P36" s="60">
        <v>7.8133999999999997</v>
      </c>
      <c r="Q36" s="60">
        <v>8.8801000000000005</v>
      </c>
      <c r="R36" s="60">
        <v>7.1073000000000004</v>
      </c>
      <c r="S36" s="59">
        <v>8.4488700000000012</v>
      </c>
      <c r="T36" s="59">
        <v>7.1288999999999998</v>
      </c>
      <c r="U36" s="60">
        <v>5.3056000000000001</v>
      </c>
      <c r="V36" s="59">
        <v>3.8348</v>
      </c>
      <c r="W36" s="60">
        <v>2.4381999999999997</v>
      </c>
      <c r="X36" s="59">
        <v>6.7783999999999995</v>
      </c>
      <c r="Y36" s="60">
        <v>5.2000999999999999</v>
      </c>
      <c r="Z36" s="59">
        <v>6.7306000000000008</v>
      </c>
      <c r="AA36" s="60">
        <v>7.8878000000000004</v>
      </c>
      <c r="AB36" s="59">
        <v>8.516</v>
      </c>
      <c r="AC36" s="60">
        <v>6.4106000000000005</v>
      </c>
      <c r="AD36" s="59">
        <v>6.8693999999999997</v>
      </c>
      <c r="AE36" s="60">
        <v>7.3471000000000002</v>
      </c>
      <c r="AF36" s="59">
        <v>7.8407</v>
      </c>
      <c r="AG36" s="60">
        <v>8.5748122063265999</v>
      </c>
      <c r="AH36" s="59">
        <v>8.0335999999999999</v>
      </c>
      <c r="AI36" s="60">
        <v>6.8071999999999999</v>
      </c>
      <c r="AJ36" s="59">
        <v>8.2401</v>
      </c>
      <c r="AK36" s="59">
        <v>7.9805299999999999</v>
      </c>
      <c r="AL36" s="59">
        <v>8.4815000000000005</v>
      </c>
      <c r="AM36" s="59">
        <v>7.7058999999999997</v>
      </c>
      <c r="AN36" s="59">
        <v>8.6637999999999984</v>
      </c>
      <c r="AO36" s="59">
        <v>17.202300000000001</v>
      </c>
      <c r="AP36" s="59">
        <v>7.2423299999999999</v>
      </c>
      <c r="AQ36" s="59">
        <v>8.1011000000000006</v>
      </c>
      <c r="AR36" s="59">
        <v>8.1159999999999997</v>
      </c>
      <c r="AS36" s="59">
        <v>8.1402000000000001</v>
      </c>
      <c r="AT36" s="59">
        <v>6.1303000000000001</v>
      </c>
      <c r="AU36" s="59">
        <v>2.6663999999999999</v>
      </c>
      <c r="AV36" s="59">
        <v>5.4436999999999998</v>
      </c>
      <c r="AW36" s="59">
        <v>6.1956000000000007</v>
      </c>
      <c r="AX36" s="59">
        <v>6.6448999999999998</v>
      </c>
      <c r="AY36" s="59">
        <v>6.383</v>
      </c>
      <c r="AZ36" s="59">
        <v>4.8063000000000002</v>
      </c>
      <c r="BA36" s="59">
        <v>5.0661000000000005</v>
      </c>
      <c r="BB36" s="59">
        <v>5.0895000000000001</v>
      </c>
    </row>
    <row r="37" spans="1:54" x14ac:dyDescent="0.25">
      <c r="A37" s="58" t="s">
        <v>68</v>
      </c>
      <c r="B37" s="59">
        <v>2.5373999999999999</v>
      </c>
      <c r="C37" s="59">
        <v>2.5295999999999998</v>
      </c>
      <c r="D37" s="86" t="str">
        <f t="shared" si="1"/>
        <v/>
      </c>
      <c r="E37" s="34" t="str">
        <f t="shared" si="2"/>
        <v>≈</v>
      </c>
      <c r="F37" s="59">
        <v>7.5644</v>
      </c>
      <c r="H37" s="75"/>
      <c r="J37" s="60">
        <v>1.9733000000000001</v>
      </c>
      <c r="K37" s="60"/>
      <c r="L37" s="60">
        <v>2.3115000000000001</v>
      </c>
      <c r="M37" s="60">
        <v>2.7284999999999999</v>
      </c>
      <c r="N37" s="60">
        <v>3.4531999999999998</v>
      </c>
      <c r="O37" s="60">
        <v>3.3323999999999998</v>
      </c>
      <c r="P37" s="60">
        <v>3.0613000000000001</v>
      </c>
      <c r="Q37" s="60">
        <v>2.7579000000000002</v>
      </c>
      <c r="R37" s="60">
        <v>2.1200999999999999</v>
      </c>
      <c r="S37" s="59">
        <v>3.4403000000000001</v>
      </c>
      <c r="T37" s="59">
        <v>2.8755000000000002</v>
      </c>
      <c r="U37" s="60">
        <v>2.3008000000000002</v>
      </c>
      <c r="V37" s="59">
        <v>0.6119</v>
      </c>
      <c r="W37" s="60">
        <v>2.8050999999999999</v>
      </c>
      <c r="X37" s="59">
        <v>2.6751999999999998</v>
      </c>
      <c r="Y37" s="60">
        <v>2.2288000000000001</v>
      </c>
      <c r="Z37" s="59">
        <v>2.2908000000000004</v>
      </c>
      <c r="AA37" s="60">
        <v>3.2603</v>
      </c>
      <c r="AB37" s="59">
        <v>3.2463000000000002</v>
      </c>
      <c r="AC37" s="60">
        <v>2.8364000000000003</v>
      </c>
      <c r="AD37" s="59">
        <v>2.6090999999999998</v>
      </c>
      <c r="AE37" s="60">
        <v>2.6755</v>
      </c>
      <c r="AF37" s="59">
        <v>2.7303000000000002</v>
      </c>
      <c r="AG37" s="60">
        <v>3.0611999999999999</v>
      </c>
      <c r="AH37" s="59">
        <v>2.6243000000000003</v>
      </c>
      <c r="AI37" s="60">
        <v>0</v>
      </c>
      <c r="AJ37" s="59">
        <v>1.6655</v>
      </c>
      <c r="AK37" s="59">
        <v>0.41649999999999998</v>
      </c>
      <c r="AL37" s="59">
        <v>1.6775</v>
      </c>
      <c r="AM37" s="59">
        <v>2.2811999999999997</v>
      </c>
      <c r="AN37" s="59">
        <v>2.5009999999999999</v>
      </c>
      <c r="AO37" s="59">
        <v>0.95820000000000005</v>
      </c>
      <c r="AP37" s="59">
        <v>2.0022000000000002</v>
      </c>
      <c r="AQ37" s="59">
        <v>2.4563000000000001</v>
      </c>
      <c r="AR37" s="59">
        <v>2.3111999999999999</v>
      </c>
      <c r="AS37" s="59">
        <v>2.7126999999999999</v>
      </c>
      <c r="AT37" s="59">
        <v>2.0377000000000001</v>
      </c>
      <c r="AU37" s="59">
        <v>2.5482</v>
      </c>
      <c r="AV37" s="59">
        <v>2.1700000000000001E-2</v>
      </c>
      <c r="AW37" s="59">
        <v>0</v>
      </c>
      <c r="AX37" s="59">
        <v>2.8003</v>
      </c>
      <c r="AY37" s="59">
        <v>2.8250000000000002</v>
      </c>
      <c r="AZ37" s="59">
        <v>2.6501999999999999</v>
      </c>
      <c r="BA37" s="59">
        <v>2.4974000000000003</v>
      </c>
      <c r="BB37" s="59">
        <v>2.5295999999999998</v>
      </c>
    </row>
    <row r="38" spans="1:54" x14ac:dyDescent="0.25">
      <c r="A38" s="58" t="s">
        <v>77</v>
      </c>
      <c r="B38" s="59">
        <v>4.0196329999999998</v>
      </c>
      <c r="C38" s="59">
        <v>3.211147</v>
      </c>
      <c r="D38" s="86" t="str">
        <f t="shared" si="1"/>
        <v></v>
      </c>
      <c r="E38" s="34">
        <f t="shared" si="2"/>
        <v>0.25177483310480642</v>
      </c>
      <c r="F38" s="59">
        <v>10.797692</v>
      </c>
      <c r="H38" s="75"/>
      <c r="J38" s="60">
        <v>4.3109999999999999</v>
      </c>
      <c r="K38" s="60">
        <v>4.4119999999999999</v>
      </c>
      <c r="L38" s="60">
        <v>4.3029000000000002</v>
      </c>
      <c r="M38" s="60">
        <v>2.7395</v>
      </c>
      <c r="N38" s="60">
        <v>2.4409999999999998</v>
      </c>
      <c r="O38" s="60">
        <v>4.5664999999999996</v>
      </c>
      <c r="P38" s="60">
        <v>4.6018999999999997</v>
      </c>
      <c r="Q38" s="60">
        <v>4.9581</v>
      </c>
      <c r="R38" s="60">
        <v>4.1583999999999994</v>
      </c>
      <c r="S38" s="59">
        <v>4.7489999999999997</v>
      </c>
      <c r="T38" s="59">
        <v>4.0640000000000001</v>
      </c>
      <c r="U38" s="60">
        <v>4.0071000000000003</v>
      </c>
      <c r="V38" s="59">
        <v>3.9843999999999999</v>
      </c>
      <c r="W38" s="60">
        <v>3.278</v>
      </c>
      <c r="X38" s="59">
        <v>3.7189999999999999</v>
      </c>
      <c r="Y38" s="60">
        <v>3.2730000000000001</v>
      </c>
      <c r="Z38" s="59">
        <v>0.76029999999999998</v>
      </c>
      <c r="AA38" s="60">
        <v>3.5636000000000001</v>
      </c>
      <c r="AB38" s="59">
        <v>3.5310000000000001</v>
      </c>
      <c r="AC38" s="60">
        <v>3.1329740000000004</v>
      </c>
      <c r="AD38" s="59">
        <v>2.1502810000000001</v>
      </c>
      <c r="AE38" s="60">
        <v>3.6767130000000003</v>
      </c>
      <c r="AF38" s="59">
        <v>3.0715850000000002</v>
      </c>
      <c r="AG38" s="60">
        <v>4.03437</v>
      </c>
      <c r="AH38" s="59">
        <v>3.9007899999999998</v>
      </c>
      <c r="AI38" s="60">
        <v>3.8694660000000001</v>
      </c>
      <c r="AJ38" s="59">
        <v>3.6249099999999999</v>
      </c>
      <c r="AK38" s="59">
        <v>2.4945490000000001</v>
      </c>
      <c r="AL38" s="59">
        <v>2.7822520000000002</v>
      </c>
      <c r="AM38" s="59">
        <v>4.0279420000000004</v>
      </c>
      <c r="AN38" s="59">
        <v>4.2385649999999995</v>
      </c>
      <c r="AO38" s="59">
        <v>3.4067220000000002</v>
      </c>
      <c r="AP38" s="59">
        <v>2.7825349999999998</v>
      </c>
      <c r="AQ38" s="59">
        <v>3.725104</v>
      </c>
      <c r="AR38" s="59">
        <v>3.057833</v>
      </c>
      <c r="AS38" s="59">
        <v>3.3121869999999998</v>
      </c>
      <c r="AT38" s="59">
        <v>3.1692669999999996</v>
      </c>
      <c r="AU38" s="59">
        <v>3.609178</v>
      </c>
      <c r="AV38" s="59">
        <v>3.193597</v>
      </c>
      <c r="AW38" s="59">
        <v>1.74037</v>
      </c>
      <c r="AX38" s="59">
        <v>1.1599729999999999</v>
      </c>
      <c r="AY38" s="59">
        <v>2.8636109999999997</v>
      </c>
      <c r="AZ38" s="59">
        <v>2.8074560000000002</v>
      </c>
      <c r="BA38" s="59">
        <v>3.5669119999999999</v>
      </c>
      <c r="BB38" s="59">
        <v>3.211147</v>
      </c>
    </row>
    <row r="39" spans="1:54" x14ac:dyDescent="0.25">
      <c r="A39" s="62" t="s">
        <v>69</v>
      </c>
      <c r="B39" s="63">
        <v>217.66251600000001</v>
      </c>
      <c r="C39" s="63">
        <v>242.06132199999996</v>
      </c>
      <c r="D39" s="86" t="str">
        <f t="shared" si="1"/>
        <v></v>
      </c>
      <c r="E39" s="64">
        <f t="shared" ref="E39" si="3">IFERROR(IF(B39/C39-1=0,"=",IF(B39/C39-1=-1,"—",IF(OR(AND(B39/C39-1&lt;0.005,B39/C39-1&gt;0), AND(B39/C39-1&lt;0,B39/C39-1&gt;-0.005)),"≈",B39/C39-1))),"—")</f>
        <v>-0.10079597103084459</v>
      </c>
      <c r="F39" s="65">
        <v>724.570198</v>
      </c>
      <c r="H39" s="75"/>
      <c r="J39" s="63">
        <v>205.735298</v>
      </c>
      <c r="K39" s="63">
        <v>209.21610200000001</v>
      </c>
      <c r="L39" s="63">
        <v>219.58830499999999</v>
      </c>
      <c r="M39" s="63">
        <v>193.23911899999996</v>
      </c>
      <c r="N39" s="63">
        <v>188.03608800000003</v>
      </c>
      <c r="O39" s="63">
        <v>242.97490199999996</v>
      </c>
      <c r="P39" s="63">
        <v>243.191474</v>
      </c>
      <c r="Q39" s="63">
        <v>250.99605600000001</v>
      </c>
      <c r="R39" s="63">
        <v>237.22714500000004</v>
      </c>
      <c r="S39" s="63">
        <v>250.83183000000002</v>
      </c>
      <c r="T39" s="63">
        <v>242.90321999999995</v>
      </c>
      <c r="U39" s="63">
        <v>228.22575000000001</v>
      </c>
      <c r="V39" s="63">
        <v>226.66689000000002</v>
      </c>
      <c r="W39" s="63">
        <v>215.621329</v>
      </c>
      <c r="X39" s="63">
        <v>226.53353799999996</v>
      </c>
      <c r="Y39" s="63">
        <v>192.22677899999999</v>
      </c>
      <c r="Z39" s="63">
        <v>241.173272</v>
      </c>
      <c r="AA39" s="63">
        <v>260.73022000000003</v>
      </c>
      <c r="AB39" s="63">
        <v>251.90099900000001</v>
      </c>
      <c r="AC39" s="63">
        <v>254.59438399999999</v>
      </c>
      <c r="AD39" s="63">
        <v>232.25480000000007</v>
      </c>
      <c r="AE39" s="63">
        <v>247.89707300000003</v>
      </c>
      <c r="AF39" s="63">
        <v>226.24937799999995</v>
      </c>
      <c r="AG39" s="63">
        <v>236.14660220632663</v>
      </c>
      <c r="AH39" s="63">
        <v>199.43258499999999</v>
      </c>
      <c r="AI39" s="63">
        <v>193.49262999999996</v>
      </c>
      <c r="AJ39" s="63">
        <v>243.01630300000002</v>
      </c>
      <c r="AK39" s="63">
        <v>226.80500700000002</v>
      </c>
      <c r="AL39" s="63">
        <v>210.76688300000001</v>
      </c>
      <c r="AM39" s="63">
        <v>190.832989</v>
      </c>
      <c r="AN39" s="63">
        <v>233.77355699999998</v>
      </c>
      <c r="AO39" s="63">
        <v>160.13180200000002</v>
      </c>
      <c r="AP39" s="63">
        <v>219.27713299999999</v>
      </c>
      <c r="AQ39" s="63">
        <v>248.86489899999998</v>
      </c>
      <c r="AR39" s="63">
        <v>242.06862699999999</v>
      </c>
      <c r="AS39" s="63">
        <v>198.62066200000001</v>
      </c>
      <c r="AT39" s="63">
        <v>201.67689499999997</v>
      </c>
      <c r="AU39" s="63">
        <v>244.46730300000002</v>
      </c>
      <c r="AV39" s="63">
        <v>244.18904700000004</v>
      </c>
      <c r="AW39" s="63">
        <v>229.53594799999999</v>
      </c>
      <c r="AX39" s="63">
        <v>253.30744300000001</v>
      </c>
      <c r="AY39" s="63">
        <v>252.37419499999999</v>
      </c>
      <c r="AZ39" s="63">
        <v>260.88160999999997</v>
      </c>
      <c r="BA39" s="63">
        <v>264.84636</v>
      </c>
      <c r="BB39" s="63">
        <v>242.06132199999996</v>
      </c>
    </row>
  </sheetData>
  <mergeCells count="1">
    <mergeCell ref="D23:E23"/>
  </mergeCells>
  <conditionalFormatting sqref="D25">
    <cfRule type="containsText" dxfId="29" priority="33" operator="containsText" text="">
      <formula>NOT(ISERROR(SEARCH("",D25)))</formula>
    </cfRule>
    <cfRule type="containsText" dxfId="28" priority="34" operator="containsText" text="">
      <formula>NOT(ISERROR(SEARCH("",D25)))</formula>
    </cfRule>
  </conditionalFormatting>
  <conditionalFormatting sqref="D26">
    <cfRule type="containsText" dxfId="27" priority="31" operator="containsText" text="">
      <formula>NOT(ISERROR(SEARCH("",D26)))</formula>
    </cfRule>
    <cfRule type="containsText" dxfId="26" priority="32" operator="containsText" text="">
      <formula>NOT(ISERROR(SEARCH("",D26)))</formula>
    </cfRule>
  </conditionalFormatting>
  <conditionalFormatting sqref="D27">
    <cfRule type="containsText" dxfId="25" priority="29" operator="containsText" text="">
      <formula>NOT(ISERROR(SEARCH("",D27)))</formula>
    </cfRule>
    <cfRule type="containsText" dxfId="24" priority="30" operator="containsText" text="">
      <formula>NOT(ISERROR(SEARCH("",D27)))</formula>
    </cfRule>
  </conditionalFormatting>
  <conditionalFormatting sqref="D28">
    <cfRule type="containsText" dxfId="23" priority="27" operator="containsText" text="">
      <formula>NOT(ISERROR(SEARCH("",D28)))</formula>
    </cfRule>
    <cfRule type="containsText" dxfId="22" priority="28" operator="containsText" text="">
      <formula>NOT(ISERROR(SEARCH("",D28)))</formula>
    </cfRule>
  </conditionalFormatting>
  <conditionalFormatting sqref="D29">
    <cfRule type="containsText" dxfId="21" priority="25" operator="containsText" text="">
      <formula>NOT(ISERROR(SEARCH("",D29)))</formula>
    </cfRule>
    <cfRule type="containsText" dxfId="20" priority="26" operator="containsText" text="">
      <formula>NOT(ISERROR(SEARCH("",D29)))</formula>
    </cfRule>
  </conditionalFormatting>
  <conditionalFormatting sqref="D30">
    <cfRule type="containsText" dxfId="19" priority="23" operator="containsText" text="">
      <formula>NOT(ISERROR(SEARCH("",D30)))</formula>
    </cfRule>
    <cfRule type="containsText" dxfId="18" priority="24" operator="containsText" text="">
      <formula>NOT(ISERROR(SEARCH("",D30)))</formula>
    </cfRule>
  </conditionalFormatting>
  <conditionalFormatting sqref="D31">
    <cfRule type="containsText" dxfId="17" priority="21" operator="containsText" text="">
      <formula>NOT(ISERROR(SEARCH("",D31)))</formula>
    </cfRule>
    <cfRule type="containsText" dxfId="16" priority="22" operator="containsText" text="">
      <formula>NOT(ISERROR(SEARCH("",D31)))</formula>
    </cfRule>
  </conditionalFormatting>
  <conditionalFormatting sqref="D32">
    <cfRule type="containsText" dxfId="15" priority="19" operator="containsText" text="">
      <formula>NOT(ISERROR(SEARCH("",D32)))</formula>
    </cfRule>
    <cfRule type="containsText" dxfId="14" priority="20" operator="containsText" text="">
      <formula>NOT(ISERROR(SEARCH("",D32)))</formula>
    </cfRule>
  </conditionalFormatting>
  <conditionalFormatting sqref="D33">
    <cfRule type="containsText" dxfId="13" priority="17" operator="containsText" text="">
      <formula>NOT(ISERROR(SEARCH("",D33)))</formula>
    </cfRule>
    <cfRule type="containsText" dxfId="12" priority="18" operator="containsText" text="">
      <formula>NOT(ISERROR(SEARCH("",D33)))</formula>
    </cfRule>
  </conditionalFormatting>
  <conditionalFormatting sqref="D34">
    <cfRule type="containsText" dxfId="11" priority="15" operator="containsText" text="">
      <formula>NOT(ISERROR(SEARCH("",D34)))</formula>
    </cfRule>
    <cfRule type="containsText" dxfId="10" priority="16" operator="containsText" text="">
      <formula>NOT(ISERROR(SEARCH("",D34)))</formula>
    </cfRule>
  </conditionalFormatting>
  <conditionalFormatting sqref="D35">
    <cfRule type="containsText" dxfId="9" priority="13" operator="containsText" text="">
      <formula>NOT(ISERROR(SEARCH("",D35)))</formula>
    </cfRule>
    <cfRule type="containsText" dxfId="8" priority="14" operator="containsText" text="">
      <formula>NOT(ISERROR(SEARCH("",D35)))</formula>
    </cfRule>
  </conditionalFormatting>
  <conditionalFormatting sqref="D36">
    <cfRule type="containsText" dxfId="7" priority="11" operator="containsText" text="">
      <formula>NOT(ISERROR(SEARCH("",D36)))</formula>
    </cfRule>
    <cfRule type="containsText" dxfId="6" priority="12" operator="containsText" text="">
      <formula>NOT(ISERROR(SEARCH("",D36)))</formula>
    </cfRule>
  </conditionalFormatting>
  <conditionalFormatting sqref="D37">
    <cfRule type="containsText" dxfId="5" priority="9" operator="containsText" text="">
      <formula>NOT(ISERROR(SEARCH("",D37)))</formula>
    </cfRule>
    <cfRule type="containsText" dxfId="4" priority="10" operator="containsText" text="">
      <formula>NOT(ISERROR(SEARCH("",D37)))</formula>
    </cfRule>
  </conditionalFormatting>
  <conditionalFormatting sqref="D38">
    <cfRule type="containsText" dxfId="3" priority="7" operator="containsText" text="">
      <formula>NOT(ISERROR(SEARCH("",D38)))</formula>
    </cfRule>
    <cfRule type="containsText" dxfId="2" priority="8" operator="containsText" text="">
      <formula>NOT(ISERROR(SEARCH("",D38)))</formula>
    </cfRule>
  </conditionalFormatting>
  <conditionalFormatting sqref="D39">
    <cfRule type="containsText" dxfId="1" priority="1" operator="containsText" text="">
      <formula>NOT(ISERROR(SEARCH("",D39)))</formula>
    </cfRule>
    <cfRule type="containsText" dxfId="0" priority="2" operator="containsText" text="">
      <formula>NOT(ISERROR(SEARCH("",D39)))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Production</vt:lpstr>
      <vt:lpstr>Лист3</vt:lpstr>
    </vt:vector>
  </TitlesOfParts>
  <Company>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nkurgan</dc:creator>
  <cp:lastModifiedBy>gbelimenko</cp:lastModifiedBy>
  <dcterms:created xsi:type="dcterms:W3CDTF">2022-02-25T15:16:15Z</dcterms:created>
  <dcterms:modified xsi:type="dcterms:W3CDTF">2026-06-04T12:34:15Z</dcterms:modified>
</cp:coreProperties>
</file>